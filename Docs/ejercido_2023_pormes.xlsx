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n\Documents\Archivos JC\Otros 2023\"/>
    </mc:Choice>
  </mc:AlternateContent>
  <bookViews>
    <workbookView xWindow="960" yWindow="555" windowWidth="15480" windowHeight="7935" activeTab="12"/>
  </bookViews>
  <sheets>
    <sheet name="ENE23" sheetId="4" r:id="rId1"/>
    <sheet name="FEB23" sheetId="5" r:id="rId2"/>
    <sheet name="MAR23" sheetId="6" r:id="rId3"/>
    <sheet name="ABR23" sheetId="7" r:id="rId4"/>
    <sheet name="MAY23" sheetId="8" r:id="rId5"/>
    <sheet name="JUN23" sheetId="9" r:id="rId6"/>
    <sheet name="JUL23" sheetId="10" r:id="rId7"/>
    <sheet name="AGO23" sheetId="11" r:id="rId8"/>
    <sheet name="SEP23" sheetId="12" r:id="rId9"/>
    <sheet name="OCT23" sheetId="13" r:id="rId10"/>
    <sheet name="NOV23" sheetId="14" r:id="rId11"/>
    <sheet name="DIC23" sheetId="15" r:id="rId12"/>
    <sheet name="VACIADO" sheetId="16" r:id="rId13"/>
    <sheet name="Asignaciones" sheetId="17" r:id="rId14"/>
  </sheets>
  <calcPr calcId="152511"/>
</workbook>
</file>

<file path=xl/calcChain.xml><?xml version="1.0" encoding="utf-8"?>
<calcChain xmlns="http://schemas.openxmlformats.org/spreadsheetml/2006/main">
  <c r="C112" i="14" l="1"/>
  <c r="C26" i="14" l="1"/>
  <c r="C163" i="14"/>
  <c r="C139" i="14"/>
  <c r="C38" i="14"/>
  <c r="C54" i="14"/>
  <c r="C78" i="14"/>
  <c r="C34" i="14"/>
  <c r="C47" i="14"/>
  <c r="C55" i="14" l="1"/>
  <c r="C53" i="14" s="1"/>
  <c r="C33" i="14"/>
  <c r="C46" i="14"/>
  <c r="C152" i="13" l="1"/>
  <c r="B41" i="17"/>
  <c r="C193" i="12" l="1"/>
  <c r="C191" i="12"/>
  <c r="C187" i="12"/>
  <c r="C220" i="13"/>
  <c r="C222" i="13"/>
  <c r="C202" i="13"/>
  <c r="C53" i="13" l="1"/>
  <c r="C18" i="13"/>
  <c r="C84" i="13"/>
  <c r="C64" i="13"/>
  <c r="C149" i="12" l="1"/>
  <c r="C186" i="13"/>
  <c r="C194" i="12" l="1"/>
  <c r="C176" i="12"/>
  <c r="C174" i="12"/>
  <c r="C172" i="11"/>
  <c r="C171" i="12"/>
  <c r="C160" i="12"/>
  <c r="C141" i="12"/>
  <c r="C124" i="13"/>
  <c r="C169" i="13"/>
  <c r="C168" i="13"/>
  <c r="C167" i="13"/>
  <c r="C42" i="12"/>
  <c r="C119" i="12"/>
  <c r="C158" i="12"/>
  <c r="C28" i="12"/>
  <c r="C27" i="13"/>
  <c r="C60" i="12"/>
  <c r="C157" i="12"/>
  <c r="C59" i="12"/>
  <c r="C82" i="12"/>
  <c r="C203" i="12"/>
  <c r="C52" i="12"/>
  <c r="C83" i="13"/>
  <c r="C63" i="13"/>
  <c r="C116" i="13"/>
  <c r="C256" i="13"/>
  <c r="C96" i="13"/>
  <c r="C95" i="13" s="1"/>
  <c r="K19" i="16" s="1"/>
  <c r="C71" i="12"/>
  <c r="C70" i="12"/>
  <c r="C69" i="12" s="1"/>
  <c r="J14" i="16" s="1"/>
  <c r="C34" i="12"/>
  <c r="C41" i="12"/>
  <c r="C50" i="12"/>
  <c r="C81" i="12"/>
  <c r="C58" i="12"/>
  <c r="C57" i="12" s="1"/>
  <c r="J12" i="16" s="1"/>
  <c r="C80" i="12"/>
  <c r="C26" i="12"/>
  <c r="C33" i="12"/>
  <c r="C32" i="12" s="1"/>
  <c r="J9" i="16" s="1"/>
  <c r="C49" i="12"/>
  <c r="C48" i="12" s="1"/>
  <c r="J11" i="16" s="1"/>
  <c r="C202" i="12"/>
  <c r="C16" i="12"/>
  <c r="C40" i="12"/>
  <c r="C10" i="12"/>
  <c r="C106" i="10"/>
  <c r="C36" i="10"/>
  <c r="C101" i="10"/>
  <c r="C138" i="10"/>
  <c r="C137" i="10"/>
  <c r="C90" i="11"/>
  <c r="C65" i="11"/>
  <c r="C37" i="11"/>
  <c r="C16" i="11"/>
  <c r="C151" i="11"/>
  <c r="C201" i="11"/>
  <c r="C54" i="11"/>
  <c r="C173" i="11"/>
  <c r="C150" i="11"/>
  <c r="C149" i="11"/>
  <c r="C170" i="11"/>
  <c r="C123" i="10"/>
  <c r="C142" i="9"/>
  <c r="C141" i="9"/>
  <c r="C191" i="9"/>
  <c r="C182" i="9"/>
  <c r="C168" i="9"/>
  <c r="C53" i="10"/>
  <c r="C26" i="10"/>
  <c r="C177" i="10"/>
  <c r="C135" i="10"/>
  <c r="C18" i="10"/>
  <c r="C16" i="10"/>
  <c r="C11" i="10"/>
  <c r="C17" i="10"/>
  <c r="C35" i="10"/>
  <c r="C25" i="10"/>
  <c r="C122" i="10"/>
  <c r="C176" i="10"/>
  <c r="C167" i="9"/>
  <c r="C32" i="10"/>
  <c r="C118" i="9"/>
  <c r="C161" i="8"/>
  <c r="C206" i="8"/>
  <c r="C200" i="7"/>
  <c r="C198" i="7"/>
  <c r="C190" i="7"/>
  <c r="C186" i="8"/>
  <c r="C176" i="8"/>
  <c r="C77" i="8"/>
  <c r="C122" i="7"/>
  <c r="C87" i="8"/>
  <c r="C47" i="8"/>
  <c r="C10" i="8"/>
  <c r="C168" i="5"/>
  <c r="C84" i="5"/>
  <c r="C95" i="5"/>
  <c r="C179" i="6"/>
  <c r="C51" i="5"/>
  <c r="C53" i="6"/>
  <c r="C135" i="6"/>
  <c r="C134" i="6"/>
  <c r="C168" i="6"/>
  <c r="C50" i="5"/>
  <c r="C83" i="5"/>
  <c r="C60" i="5"/>
  <c r="C204" i="5"/>
  <c r="C202" i="5"/>
  <c r="C200" i="5"/>
  <c r="C196" i="5"/>
  <c r="C194" i="5"/>
  <c r="C192" i="5"/>
  <c r="C112" i="4"/>
  <c r="C111" i="4"/>
  <c r="C97" i="15"/>
  <c r="B43" i="17"/>
  <c r="C113" i="15"/>
  <c r="C141" i="14"/>
  <c r="C136" i="12"/>
  <c r="C79" i="5"/>
  <c r="C58" i="4"/>
  <c r="C185" i="13"/>
  <c r="C53" i="11"/>
  <c r="C79" i="12"/>
  <c r="C39" i="12"/>
  <c r="J10" i="16" s="1"/>
  <c r="C143" i="11"/>
  <c r="C110" i="10"/>
  <c r="C108" i="9"/>
  <c r="C133" i="6"/>
  <c r="C115" i="13"/>
  <c r="C133" i="12"/>
  <c r="C21" i="12"/>
  <c r="C19" i="14"/>
  <c r="C60" i="14"/>
  <c r="C13" i="14"/>
  <c r="C18" i="9"/>
  <c r="C20" i="4"/>
  <c r="C15" i="4"/>
  <c r="C137" i="5"/>
  <c r="C150" i="5"/>
  <c r="C187" i="5"/>
  <c r="C28" i="6"/>
  <c r="C52" i="6"/>
  <c r="C60" i="6"/>
  <c r="C80" i="6"/>
  <c r="C111" i="6"/>
  <c r="C114" i="6"/>
  <c r="C142" i="6"/>
  <c r="C151" i="6"/>
  <c r="C164" i="6"/>
  <c r="C192" i="6"/>
  <c r="C10" i="7"/>
  <c r="C61" i="7"/>
  <c r="C67" i="7"/>
  <c r="C144" i="7"/>
  <c r="C153" i="7"/>
  <c r="C162" i="7"/>
  <c r="C169" i="7"/>
  <c r="C215" i="7"/>
  <c r="C31" i="8"/>
  <c r="C46" i="8"/>
  <c r="C54" i="8"/>
  <c r="C63" i="8"/>
  <c r="C70" i="8"/>
  <c r="C82" i="8"/>
  <c r="C86" i="8"/>
  <c r="C112" i="8"/>
  <c r="C124" i="8"/>
  <c r="C144" i="8"/>
  <c r="C170" i="8"/>
  <c r="C55" i="9"/>
  <c r="C65" i="9"/>
  <c r="C80" i="9"/>
  <c r="C139" i="9"/>
  <c r="C135" i="9"/>
  <c r="C147" i="9"/>
  <c r="C66" i="6"/>
  <c r="C19" i="6"/>
  <c r="C75" i="6"/>
  <c r="C98" i="6"/>
  <c r="C101" i="6"/>
  <c r="C104" i="6"/>
  <c r="C107" i="6"/>
  <c r="C123" i="6"/>
  <c r="C169" i="14"/>
  <c r="C104" i="9"/>
  <c r="C155" i="11"/>
  <c r="I32" i="16" s="1"/>
  <c r="C141" i="8"/>
  <c r="C24" i="6"/>
  <c r="C51" i="13"/>
  <c r="K11" i="16" s="1"/>
  <c r="C129" i="14"/>
  <c r="C102" i="14"/>
  <c r="L26" i="16" s="1"/>
  <c r="C42" i="13"/>
  <c r="C82" i="13"/>
  <c r="K16" i="16" s="1"/>
  <c r="C66" i="14"/>
  <c r="C25" i="13"/>
  <c r="C77" i="13"/>
  <c r="C174" i="13"/>
  <c r="K32" i="16" s="1"/>
  <c r="C76" i="12"/>
  <c r="J15" i="16" s="1"/>
  <c r="C64" i="12"/>
  <c r="C109" i="12"/>
  <c r="C85" i="11"/>
  <c r="I15" i="16"/>
  <c r="C138" i="8"/>
  <c r="F29" i="16"/>
  <c r="C112" i="9"/>
  <c r="G24" i="16"/>
  <c r="C205" i="8"/>
  <c r="F38" i="16"/>
  <c r="C45" i="6"/>
  <c r="C124" i="4"/>
  <c r="C162" i="14"/>
  <c r="C16" i="13"/>
  <c r="K6" i="16" s="1"/>
  <c r="C118" i="12"/>
  <c r="J26" i="16" s="1"/>
  <c r="C15" i="11"/>
  <c r="C153" i="8"/>
  <c r="C18" i="7"/>
  <c r="E6" i="16"/>
  <c r="C93" i="5"/>
  <c r="C119" i="5"/>
  <c r="C24" i="16"/>
  <c r="C39" i="4"/>
  <c r="C61" i="4"/>
  <c r="B16" i="16"/>
  <c r="C8" i="15"/>
  <c r="C15" i="12"/>
  <c r="C155" i="12"/>
  <c r="J33" i="16" s="1"/>
  <c r="I30" i="16"/>
  <c r="I35" i="16"/>
  <c r="C61" i="10"/>
  <c r="C143" i="10"/>
  <c r="H34" i="16"/>
  <c r="F35" i="16"/>
  <c r="C162" i="9"/>
  <c r="G34" i="16"/>
  <c r="C159" i="8"/>
  <c r="F33" i="16"/>
  <c r="C197" i="8"/>
  <c r="F36" i="16"/>
  <c r="C18" i="8"/>
  <c r="F6" i="16"/>
  <c r="C111" i="7"/>
  <c r="E22" i="16"/>
  <c r="C5" i="7"/>
  <c r="E4" i="16"/>
  <c r="C28" i="7"/>
  <c r="E8" i="16"/>
  <c r="C137" i="7"/>
  <c r="C10" i="6"/>
  <c r="C102" i="4"/>
  <c r="B29" i="16"/>
  <c r="D8" i="16"/>
  <c r="C145" i="5"/>
  <c r="C34" i="4"/>
  <c r="C107" i="5"/>
  <c r="C22" i="16"/>
  <c r="C15" i="5"/>
  <c r="C175" i="5"/>
  <c r="C33" i="16"/>
  <c r="C34" i="5"/>
  <c r="C128" i="4"/>
  <c r="B35" i="16"/>
  <c r="C11" i="4"/>
  <c r="B6" i="16"/>
  <c r="C100" i="12"/>
  <c r="C68" i="15"/>
  <c r="M23" i="16"/>
  <c r="C93" i="14"/>
  <c r="L23" i="16" s="1"/>
  <c r="C121" i="13"/>
  <c r="K23" i="16" s="1"/>
  <c r="C106" i="12"/>
  <c r="J23" i="16"/>
  <c r="C118" i="11"/>
  <c r="I23" i="16"/>
  <c r="C91" i="10"/>
  <c r="H23" i="16"/>
  <c r="G23" i="16"/>
  <c r="C117" i="8"/>
  <c r="F23" i="16"/>
  <c r="C116" i="7"/>
  <c r="E23" i="16"/>
  <c r="M6" i="16"/>
  <c r="J6" i="16"/>
  <c r="L6" i="16"/>
  <c r="I6" i="16"/>
  <c r="H6" i="16"/>
  <c r="G6" i="16"/>
  <c r="C116" i="5"/>
  <c r="C23" i="16"/>
  <c r="C83" i="4"/>
  <c r="B23" i="16"/>
  <c r="D6" i="16"/>
  <c r="C17" i="15"/>
  <c r="M8" i="16"/>
  <c r="C34" i="15"/>
  <c r="M12" i="16"/>
  <c r="C28" i="15"/>
  <c r="M11" i="16"/>
  <c r="C47" i="15"/>
  <c r="M16" i="16"/>
  <c r="C122" i="15"/>
  <c r="M36" i="16"/>
  <c r="C111" i="14"/>
  <c r="L28" i="16"/>
  <c r="C69" i="14"/>
  <c r="L16" i="16"/>
  <c r="C132" i="13"/>
  <c r="K25" i="16" s="1"/>
  <c r="C99" i="14"/>
  <c r="L25" i="16" s="1"/>
  <c r="C102" i="13"/>
  <c r="C255" i="13"/>
  <c r="K36" i="16" s="1"/>
  <c r="C265" i="13"/>
  <c r="K38" i="16" s="1"/>
  <c r="C139" i="12"/>
  <c r="J31" i="16" s="1"/>
  <c r="C128" i="12"/>
  <c r="J28" i="16"/>
  <c r="C20" i="11"/>
  <c r="I7" i="16"/>
  <c r="C128" i="10"/>
  <c r="H32" i="16" s="1"/>
  <c r="C10" i="10"/>
  <c r="C71" i="11"/>
  <c r="I13" i="16"/>
  <c r="C26" i="11"/>
  <c r="I8" i="16"/>
  <c r="C200" i="11"/>
  <c r="I36" i="16"/>
  <c r="C114" i="11"/>
  <c r="I22" i="16"/>
  <c r="C64" i="11"/>
  <c r="I12" i="16"/>
  <c r="C147" i="11"/>
  <c r="I31" i="16"/>
  <c r="C136" i="11"/>
  <c r="I28" i="16"/>
  <c r="C9" i="11"/>
  <c r="I11" i="16"/>
  <c r="C80" i="11"/>
  <c r="I14" i="16"/>
  <c r="C118" i="10"/>
  <c r="H30" i="16"/>
  <c r="C34" i="10"/>
  <c r="C147" i="10"/>
  <c r="H35" i="16"/>
  <c r="C40" i="10"/>
  <c r="H11" i="16"/>
  <c r="C51" i="10"/>
  <c r="H12" i="16"/>
  <c r="C133" i="10"/>
  <c r="H33" i="16"/>
  <c r="C120" i="8"/>
  <c r="F24" i="16"/>
  <c r="F11" i="16"/>
  <c r="C165" i="8"/>
  <c r="C224" i="7"/>
  <c r="E38" i="16"/>
  <c r="C70" i="6"/>
  <c r="D14" i="16"/>
  <c r="D12" i="16"/>
  <c r="D11" i="16"/>
  <c r="D15" i="16"/>
  <c r="D16" i="16"/>
  <c r="C59" i="5"/>
  <c r="C12" i="16"/>
  <c r="C27" i="5"/>
  <c r="C8" i="16"/>
  <c r="C40" i="5"/>
  <c r="C10" i="16"/>
  <c r="C49" i="5"/>
  <c r="C11" i="16"/>
  <c r="C101" i="5"/>
  <c r="C20" i="16"/>
  <c r="C98" i="4"/>
  <c r="B28" i="16"/>
  <c r="C29" i="4"/>
  <c r="B9" i="16"/>
  <c r="C109" i="4"/>
  <c r="B31" i="16"/>
  <c r="C115" i="14"/>
  <c r="L29" i="16"/>
  <c r="K8" i="16"/>
  <c r="C25" i="14"/>
  <c r="L8" i="16" s="1"/>
  <c r="K10" i="16"/>
  <c r="C37" i="14"/>
  <c r="L10" i="16" s="1"/>
  <c r="C161" i="13"/>
  <c r="K30" i="16" s="1"/>
  <c r="C200" i="13"/>
  <c r="K35" i="16" s="1"/>
  <c r="C77" i="14"/>
  <c r="L19" i="16" s="1"/>
  <c r="C62" i="13"/>
  <c r="K12" i="16" s="1"/>
  <c r="J7" i="16"/>
  <c r="C201" i="12"/>
  <c r="J36" i="16" s="1"/>
  <c r="C88" i="12"/>
  <c r="J19" i="16"/>
  <c r="C80" i="10"/>
  <c r="C132" i="9"/>
  <c r="G29" i="16"/>
  <c r="C78" i="7"/>
  <c r="E15" i="16"/>
  <c r="C118" i="4"/>
  <c r="B33" i="16"/>
  <c r="C93" i="15"/>
  <c r="C77" i="15"/>
  <c r="M26" i="16"/>
  <c r="C68" i="13"/>
  <c r="K13" i="16" s="1"/>
  <c r="C32" i="14"/>
  <c r="L9" i="16" s="1"/>
  <c r="C107" i="14"/>
  <c r="C158" i="13"/>
  <c r="C170" i="12"/>
  <c r="J35" i="16" s="1"/>
  <c r="C57" i="10"/>
  <c r="H13" i="16"/>
  <c r="C84" i="10"/>
  <c r="H21" i="16"/>
  <c r="C69" i="4"/>
  <c r="B19" i="16"/>
  <c r="C140" i="7"/>
  <c r="E30" i="16"/>
  <c r="E33" i="16"/>
  <c r="C45" i="7"/>
  <c r="E10" i="16"/>
  <c r="F10" i="16"/>
  <c r="C94" i="7"/>
  <c r="E19" i="16"/>
  <c r="C96" i="8"/>
  <c r="F19" i="16"/>
  <c r="C91" i="9"/>
  <c r="C37" i="7"/>
  <c r="E9" i="16"/>
  <c r="D36" i="16"/>
  <c r="D33" i="16"/>
  <c r="C130" i="6"/>
  <c r="D30" i="16"/>
  <c r="C127" i="6"/>
  <c r="D29" i="16"/>
  <c r="C119" i="6"/>
  <c r="D27" i="16"/>
  <c r="D26" i="16"/>
  <c r="D25" i="16"/>
  <c r="D24" i="16"/>
  <c r="D22" i="16"/>
  <c r="C5" i="6"/>
  <c r="D4" i="16"/>
  <c r="C31" i="16"/>
  <c r="C129" i="5"/>
  <c r="C26" i="16"/>
  <c r="C133" i="5"/>
  <c r="C213" i="5"/>
  <c r="C36" i="16"/>
  <c r="C182" i="5"/>
  <c r="C34" i="16"/>
  <c r="C5" i="5"/>
  <c r="C22" i="5"/>
  <c r="C7" i="16"/>
  <c r="C69" i="5"/>
  <c r="C14" i="16"/>
  <c r="C10" i="5"/>
  <c r="C5" i="16"/>
  <c r="C37" i="6"/>
  <c r="D9" i="16"/>
  <c r="D7" i="16"/>
  <c r="D13" i="16"/>
  <c r="C24" i="15"/>
  <c r="M10" i="16"/>
  <c r="C104" i="15"/>
  <c r="M33" i="16"/>
  <c r="C58" i="15"/>
  <c r="C48" i="9"/>
  <c r="G10" i="16"/>
  <c r="C44" i="11"/>
  <c r="I10" i="16"/>
  <c r="C52" i="7"/>
  <c r="E11" i="16"/>
  <c r="G11" i="16"/>
  <c r="C45" i="14"/>
  <c r="L11" i="16" s="1"/>
  <c r="M5" i="16"/>
  <c r="C41" i="15"/>
  <c r="M14" i="16"/>
  <c r="M15" i="16"/>
  <c r="C110" i="15"/>
  <c r="M34" i="16"/>
  <c r="M20" i="16"/>
  <c r="C84" i="15"/>
  <c r="M28" i="16"/>
  <c r="M29" i="16"/>
  <c r="M30" i="16"/>
  <c r="M31" i="16"/>
  <c r="C5" i="4"/>
  <c r="B4" i="16"/>
  <c r="C8" i="4"/>
  <c r="B5" i="16"/>
  <c r="B7" i="16"/>
  <c r="B8" i="16"/>
  <c r="C44" i="4"/>
  <c r="C49" i="4"/>
  <c r="B13" i="16"/>
  <c r="C52" i="4"/>
  <c r="B14" i="16"/>
  <c r="B15" i="16"/>
  <c r="C73" i="4"/>
  <c r="B20" i="16"/>
  <c r="C77" i="4"/>
  <c r="B21" i="16"/>
  <c r="C80" i="4"/>
  <c r="B22" i="16"/>
  <c r="C86" i="4"/>
  <c r="B24" i="16"/>
  <c r="C89" i="4"/>
  <c r="B25" i="16"/>
  <c r="C92" i="4"/>
  <c r="B26" i="16"/>
  <c r="C95" i="4"/>
  <c r="B27" i="16"/>
  <c r="C105" i="4"/>
  <c r="B30" i="16"/>
  <c r="C115" i="4"/>
  <c r="B32" i="16"/>
  <c r="B34" i="16"/>
  <c r="C146" i="4"/>
  <c r="B36" i="16"/>
  <c r="C153" i="4"/>
  <c r="B38" i="16"/>
  <c r="C15" i="16"/>
  <c r="C27" i="16"/>
  <c r="C28" i="16"/>
  <c r="C29" i="16"/>
  <c r="C30" i="16"/>
  <c r="C225" i="5"/>
  <c r="C38" i="16"/>
  <c r="C95" i="6"/>
  <c r="D20" i="16"/>
  <c r="D21" i="16"/>
  <c r="D28" i="16"/>
  <c r="D31" i="16"/>
  <c r="D32" i="16"/>
  <c r="C159" i="6"/>
  <c r="D34" i="16"/>
  <c r="C201" i="6"/>
  <c r="D38" i="16"/>
  <c r="E5" i="16"/>
  <c r="C9" i="8"/>
  <c r="C11" i="9"/>
  <c r="G5" i="16"/>
  <c r="C22" i="7"/>
  <c r="E7" i="16"/>
  <c r="C26" i="8"/>
  <c r="F7" i="16"/>
  <c r="F8" i="16"/>
  <c r="E12" i="16"/>
  <c r="F12" i="16"/>
  <c r="C75" i="7"/>
  <c r="E14" i="16"/>
  <c r="C76" i="8"/>
  <c r="F14" i="16"/>
  <c r="C81" i="7"/>
  <c r="E16" i="16"/>
  <c r="F16" i="16"/>
  <c r="G16" i="16"/>
  <c r="C102" i="7"/>
  <c r="E20" i="16"/>
  <c r="C126" i="7"/>
  <c r="E26" i="16"/>
  <c r="C131" i="7"/>
  <c r="E27" i="16"/>
  <c r="C134" i="7"/>
  <c r="E28" i="16"/>
  <c r="E29" i="16"/>
  <c r="G30" i="16"/>
  <c r="F30" i="16"/>
  <c r="E31" i="16"/>
  <c r="F31" i="16"/>
  <c r="E32" i="16"/>
  <c r="C174" i="7"/>
  <c r="E36" i="16"/>
  <c r="C204" i="9"/>
  <c r="G36" i="16"/>
  <c r="C5" i="8"/>
  <c r="F4" i="16"/>
  <c r="C40" i="8"/>
  <c r="F9" i="16"/>
  <c r="F15" i="16"/>
  <c r="C103" i="8"/>
  <c r="F20" i="16"/>
  <c r="F22" i="16"/>
  <c r="C127" i="8"/>
  <c r="F26" i="16"/>
  <c r="C132" i="8"/>
  <c r="F27" i="16"/>
  <c r="C5" i="9"/>
  <c r="G4" i="16"/>
  <c r="C22" i="9"/>
  <c r="G7" i="16"/>
  <c r="C27" i="9"/>
  <c r="G8" i="16"/>
  <c r="C35" i="9"/>
  <c r="G9" i="16"/>
  <c r="G12" i="16"/>
  <c r="C74" i="9"/>
  <c r="G14" i="16"/>
  <c r="C97" i="9"/>
  <c r="G20" i="16"/>
  <c r="G22" i="16"/>
  <c r="C122" i="9"/>
  <c r="G26" i="16"/>
  <c r="C126" i="9"/>
  <c r="G27" i="16"/>
  <c r="G31" i="16"/>
  <c r="C152" i="9"/>
  <c r="G33" i="16"/>
  <c r="G35" i="16"/>
  <c r="C214" i="9"/>
  <c r="G38" i="16"/>
  <c r="C5" i="10"/>
  <c r="H4" i="16"/>
  <c r="C68" i="10"/>
  <c r="H16" i="16"/>
  <c r="H20" i="16"/>
  <c r="C100" i="10"/>
  <c r="H26" i="16"/>
  <c r="C121" i="10"/>
  <c r="H31" i="16" s="1"/>
  <c r="C175" i="10"/>
  <c r="H36" i="16"/>
  <c r="C36" i="11"/>
  <c r="I9" i="16"/>
  <c r="C89" i="11"/>
  <c r="I16" i="16"/>
  <c r="C105" i="11"/>
  <c r="I20" i="16"/>
  <c r="C111" i="11"/>
  <c r="I21" i="16"/>
  <c r="C127" i="11"/>
  <c r="I26" i="16"/>
  <c r="C132" i="11"/>
  <c r="I27" i="16"/>
  <c r="I29" i="16"/>
  <c r="C161" i="11"/>
  <c r="I33" i="16"/>
  <c r="C169" i="11"/>
  <c r="I34" i="16"/>
  <c r="C5" i="12"/>
  <c r="J4" i="16"/>
  <c r="C9" i="12"/>
  <c r="J5" i="16" s="1"/>
  <c r="C95" i="12"/>
  <c r="J20" i="16" s="1"/>
  <c r="J24" i="16"/>
  <c r="C122" i="12"/>
  <c r="J27" i="16"/>
  <c r="J29" i="16"/>
  <c r="J30" i="16"/>
  <c r="C164" i="12"/>
  <c r="J34" i="16"/>
  <c r="C5" i="13"/>
  <c r="C9" i="13"/>
  <c r="K5" i="16" s="1"/>
  <c r="C36" i="13"/>
  <c r="K9" i="16" s="1"/>
  <c r="K15" i="16"/>
  <c r="L15" i="16"/>
  <c r="C112" i="13"/>
  <c r="K21" i="16" s="1"/>
  <c r="C87" i="14"/>
  <c r="L21" i="16" s="1"/>
  <c r="C139" i="13"/>
  <c r="K26" i="16" s="1"/>
  <c r="C145" i="13"/>
  <c r="K27" i="16" s="1"/>
  <c r="L27" i="16"/>
  <c r="K29" i="16"/>
  <c r="C118" i="14"/>
  <c r="L30" i="16"/>
  <c r="C5" i="14"/>
  <c r="L4" i="16" s="1"/>
  <c r="C8" i="14"/>
  <c r="L5" i="16"/>
  <c r="L7" i="16"/>
  <c r="L12" i="16"/>
  <c r="C121" i="14"/>
  <c r="L31" i="16" s="1"/>
  <c r="L33" i="16"/>
  <c r="C138" i="14"/>
  <c r="L35" i="16"/>
  <c r="L36" i="16"/>
  <c r="C83" i="14"/>
  <c r="L20" i="16"/>
  <c r="C90" i="14"/>
  <c r="L22" i="16"/>
  <c r="C96" i="14"/>
  <c r="L24" i="16"/>
  <c r="C126" i="14"/>
  <c r="L32" i="16"/>
  <c r="C165" i="13"/>
  <c r="K31" i="16" s="1"/>
  <c r="J16" i="16"/>
  <c r="C211" i="12"/>
  <c r="J38" i="16"/>
  <c r="C75" i="10"/>
  <c r="H19" i="16"/>
  <c r="C101" i="9"/>
  <c r="G21" i="16"/>
  <c r="J21" i="16"/>
  <c r="C109" i="8"/>
  <c r="F21" i="16"/>
  <c r="C71" i="9"/>
  <c r="G13" i="16"/>
  <c r="J13" i="16"/>
  <c r="F13" i="16"/>
  <c r="K22" i="16"/>
  <c r="K24" i="16"/>
  <c r="C197" i="13"/>
  <c r="K34" i="16"/>
  <c r="C22" i="13"/>
  <c r="K7" i="16" s="1"/>
  <c r="C73" i="13"/>
  <c r="K14" i="16"/>
  <c r="C103" i="12"/>
  <c r="J22" i="16"/>
  <c r="C115" i="12"/>
  <c r="J25" i="16" s="1"/>
  <c r="J32" i="16"/>
  <c r="H27" i="16"/>
  <c r="C115" i="10"/>
  <c r="H29" i="16"/>
  <c r="C88" i="10"/>
  <c r="H22" i="16"/>
  <c r="C94" i="10"/>
  <c r="H24" i="16"/>
  <c r="C97" i="10"/>
  <c r="H25" i="16"/>
  <c r="H28" i="16"/>
  <c r="C21" i="10"/>
  <c r="H7" i="16"/>
  <c r="C24" i="10"/>
  <c r="H8" i="16"/>
  <c r="C65" i="10"/>
  <c r="H15" i="16"/>
  <c r="C31" i="10"/>
  <c r="H9" i="16"/>
  <c r="H14" i="16"/>
  <c r="G32" i="16"/>
  <c r="G25" i="16"/>
  <c r="C129" i="9"/>
  <c r="G28" i="16"/>
  <c r="C77" i="9"/>
  <c r="G15" i="16"/>
  <c r="F25" i="16"/>
  <c r="C135" i="8"/>
  <c r="F28" i="16"/>
  <c r="F32" i="16"/>
  <c r="E34" i="16"/>
  <c r="C125" i="5"/>
  <c r="C25" i="16"/>
  <c r="C35" i="16"/>
  <c r="C62" i="15"/>
  <c r="M21" i="16"/>
  <c r="C108" i="7"/>
  <c r="E21" i="16"/>
  <c r="C104" i="5"/>
  <c r="C21" i="16"/>
  <c r="C38" i="15"/>
  <c r="M13" i="16"/>
  <c r="C57" i="14"/>
  <c r="L13" i="16" s="1"/>
  <c r="E13" i="16"/>
  <c r="C66" i="5"/>
  <c r="C13" i="16"/>
  <c r="C5" i="15"/>
  <c r="C14" i="15"/>
  <c r="M7" i="16"/>
  <c r="C21" i="15"/>
  <c r="M9" i="16"/>
  <c r="L14" i="16"/>
  <c r="C65" i="15"/>
  <c r="M22" i="16"/>
  <c r="C130" i="15"/>
  <c r="M38" i="16"/>
  <c r="M32" i="16"/>
  <c r="C81" i="15"/>
  <c r="M27" i="16"/>
  <c r="C74" i="15"/>
  <c r="M25" i="16"/>
  <c r="C71" i="15"/>
  <c r="M24" i="16"/>
  <c r="C55" i="15"/>
  <c r="L38" i="16"/>
  <c r="C209" i="11"/>
  <c r="I38" i="16"/>
  <c r="C124" i="11"/>
  <c r="I25" i="16"/>
  <c r="C121" i="11"/>
  <c r="I24" i="16"/>
  <c r="C182" i="10"/>
  <c r="H38" i="16"/>
  <c r="E25" i="16"/>
  <c r="C119" i="7"/>
  <c r="E24" i="16"/>
  <c r="C32" i="16"/>
  <c r="C4" i="16"/>
  <c r="C82" i="5"/>
  <c r="C16" i="16"/>
  <c r="F34" i="16"/>
  <c r="H10" i="16"/>
  <c r="H5" i="16"/>
  <c r="I5" i="16"/>
  <c r="C25" i="12"/>
  <c r="J8" i="16" s="1"/>
  <c r="C150" i="13"/>
  <c r="K28" i="16" s="1"/>
  <c r="B10" i="16"/>
  <c r="K4" i="16"/>
  <c r="M4" i="16"/>
  <c r="K20" i="16"/>
  <c r="D5" i="16"/>
  <c r="D35" i="16"/>
  <c r="D23" i="16"/>
  <c r="K33" i="16"/>
  <c r="I4" i="16"/>
  <c r="G19" i="16"/>
  <c r="C9" i="16"/>
  <c r="C54" i="15"/>
  <c r="M19" i="16"/>
  <c r="E35" i="16"/>
  <c r="E18" i="16"/>
  <c r="C93" i="7"/>
  <c r="F5" i="16"/>
  <c r="F3" i="16"/>
  <c r="C4" i="8"/>
  <c r="C6" i="16"/>
  <c r="C4" i="5"/>
  <c r="B11" i="16"/>
  <c r="C4" i="4"/>
  <c r="M35" i="16"/>
  <c r="M18" i="16"/>
  <c r="C74" i="10"/>
  <c r="C2" i="10" s="1"/>
  <c r="D10" i="16"/>
  <c r="C4" i="6"/>
  <c r="M3" i="16"/>
  <c r="C4" i="15"/>
  <c r="C4" i="9"/>
  <c r="C92" i="5"/>
  <c r="C19" i="16"/>
  <c r="C18" i="16"/>
  <c r="C4" i="11"/>
  <c r="H3" i="16"/>
  <c r="C4" i="10"/>
  <c r="G3" i="16"/>
  <c r="C90" i="9"/>
  <c r="C2" i="9" s="1"/>
  <c r="C95" i="8"/>
  <c r="F18" i="16"/>
  <c r="C4" i="7"/>
  <c r="E3" i="16"/>
  <c r="C68" i="4"/>
  <c r="B18" i="16"/>
  <c r="B12" i="16"/>
  <c r="C2" i="15"/>
  <c r="C3" i="16"/>
  <c r="C40" i="16"/>
  <c r="D3" i="16"/>
  <c r="M40" i="16"/>
  <c r="F40" i="16"/>
  <c r="C2" i="7"/>
  <c r="C2" i="5"/>
  <c r="B3" i="16"/>
  <c r="B40" i="16"/>
  <c r="C2" i="4"/>
  <c r="C2" i="8"/>
  <c r="E40" i="16"/>
  <c r="C88" i="6"/>
  <c r="D19" i="16"/>
  <c r="D18" i="16"/>
  <c r="D40" i="16"/>
  <c r="C87" i="6"/>
  <c r="C2" i="6"/>
  <c r="C98" i="11"/>
  <c r="I19" i="16"/>
  <c r="C97" i="11"/>
  <c r="C2" i="11" s="1"/>
  <c r="C76" i="14" l="1"/>
  <c r="N30" i="16"/>
  <c r="C4" i="14"/>
  <c r="L34" i="16"/>
  <c r="L18" i="16" s="1"/>
  <c r="L3" i="16"/>
  <c r="C87" i="12"/>
  <c r="C4" i="13"/>
  <c r="N29" i="16"/>
  <c r="H18" i="16"/>
  <c r="H40" i="16" s="1"/>
  <c r="N6" i="16"/>
  <c r="I3" i="16"/>
  <c r="G18" i="16"/>
  <c r="G40" i="16" s="1"/>
  <c r="N23" i="16"/>
  <c r="N10" i="16"/>
  <c r="N4" i="16"/>
  <c r="I18" i="16"/>
  <c r="N9" i="16"/>
  <c r="N15" i="16"/>
  <c r="N26" i="16"/>
  <c r="N11" i="16"/>
  <c r="N36" i="16"/>
  <c r="N20" i="16"/>
  <c r="C4" i="12"/>
  <c r="N24" i="16"/>
  <c r="N12" i="16"/>
  <c r="N25" i="16"/>
  <c r="J3" i="16"/>
  <c r="N7" i="16"/>
  <c r="N31" i="16"/>
  <c r="N21" i="16"/>
  <c r="J18" i="16"/>
  <c r="J40" i="16" s="1"/>
  <c r="N22" i="16"/>
  <c r="N27" i="16"/>
  <c r="N8" i="16"/>
  <c r="N38" i="16"/>
  <c r="N33" i="16"/>
  <c r="N28" i="16"/>
  <c r="N13" i="16"/>
  <c r="N19" i="16"/>
  <c r="N16" i="16"/>
  <c r="N14" i="16"/>
  <c r="N32" i="16"/>
  <c r="C94" i="13"/>
  <c r="K3" i="16"/>
  <c r="N5" i="16"/>
  <c r="N35" i="16"/>
  <c r="K18" i="16"/>
  <c r="C2" i="14" l="1"/>
  <c r="N34" i="16"/>
  <c r="L40" i="16"/>
  <c r="C2" i="12"/>
  <c r="C2" i="13"/>
  <c r="I40" i="16"/>
  <c r="N3" i="16"/>
  <c r="N18" i="16"/>
  <c r="K40" i="16"/>
  <c r="N40" i="16" l="1"/>
  <c r="B45" i="17" s="1"/>
</calcChain>
</file>

<file path=xl/sharedStrings.xml><?xml version="1.0" encoding="utf-8"?>
<sst xmlns="http://schemas.openxmlformats.org/spreadsheetml/2006/main" count="1329" uniqueCount="655">
  <si>
    <t>INVERSION</t>
  </si>
  <si>
    <t>TOTAL</t>
  </si>
  <si>
    <t>Mantto. A cubiertas</t>
  </si>
  <si>
    <t>Mantto. A máquinas</t>
  </si>
  <si>
    <t>Mantto. A equipo científico y de laboratorio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</si>
  <si>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</si>
  <si>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</si>
  <si>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</si>
  <si>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</si>
  <si>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</si>
  <si>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</si>
  <si>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</si>
  <si>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</si>
  <si>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</si>
  <si>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</si>
  <si>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</si>
  <si>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</si>
  <si>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DE GASTOS MENSUALES</t>
  </si>
  <si>
    <t>Limpieza de ropa de cama</t>
  </si>
  <si>
    <t>Artículos y accesorios de cocina/limpieza</t>
  </si>
  <si>
    <t>Fecha</t>
  </si>
  <si>
    <t>Concepto</t>
  </si>
  <si>
    <t>Monto</t>
  </si>
  <si>
    <t>MATERIALES</t>
  </si>
  <si>
    <t>Lubricantes</t>
  </si>
  <si>
    <t>Víveres</t>
  </si>
  <si>
    <t>Mantenimiento a máquinas</t>
  </si>
  <si>
    <t>Otros</t>
  </si>
  <si>
    <t>Equipo de seguridad y ayuda a la navegación</t>
  </si>
  <si>
    <t>SERVICIOS</t>
  </si>
  <si>
    <t>Agenciamientos</t>
  </si>
  <si>
    <t>Seguridad y ayuda a la navegación</t>
  </si>
  <si>
    <t>Inspecciones ABS</t>
  </si>
  <si>
    <t>Mantenimiento a equipo científico y de laboratorio</t>
  </si>
  <si>
    <t>Comunicaciones</t>
  </si>
  <si>
    <t>Parque vehicular CICESE</t>
  </si>
  <si>
    <t>Diesel para Buque</t>
  </si>
  <si>
    <t>Comisiones/Servicios financieros/Pago de derechos</t>
  </si>
  <si>
    <t>Viáticos</t>
  </si>
  <si>
    <t>Mantto. A Embarcaciones Menores</t>
  </si>
  <si>
    <t>Comisiones/Servicios Financieros/Derechos</t>
  </si>
  <si>
    <t>Materiales para Mantenimiento en Dique Seco</t>
  </si>
  <si>
    <t>Mats. Para Mantto. En Dique Seco</t>
  </si>
  <si>
    <t>Mantto. En Dique Seco</t>
  </si>
  <si>
    <t>Cantidad</t>
  </si>
  <si>
    <t>TOTAL ASIGNADO</t>
  </si>
  <si>
    <t>POR ASIGNAR</t>
  </si>
  <si>
    <t>Gasolina para embarcaciones menores</t>
  </si>
  <si>
    <t>Gasolina para vehículos</t>
  </si>
  <si>
    <t>Mantenimiento a embarcaciones menores</t>
  </si>
  <si>
    <t>Materiales para mantenimiento en dique seco</t>
  </si>
  <si>
    <t>Mantenimiento en dique seco</t>
  </si>
  <si>
    <t>Cuenta</t>
  </si>
  <si>
    <t>Mantenimiento a cubiertas/casco</t>
  </si>
  <si>
    <t>Fletes diversos</t>
  </si>
  <si>
    <t>Mats. Para Mantto. De Máquinas</t>
  </si>
  <si>
    <t>Mats. Mantto. Embarcaciones Menores</t>
  </si>
  <si>
    <t>Mats. para laboratorios y electrónico</t>
  </si>
  <si>
    <t>Mats. Para Mantto. De Cubiertas / Casco</t>
  </si>
  <si>
    <t xml:space="preserve"> </t>
  </si>
  <si>
    <t>DISPONIBLE</t>
  </si>
  <si>
    <t>SEPTIEMBRE 2023</t>
  </si>
  <si>
    <t>Asignaciones del año 2023 a las cuentas del DEO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</si>
  <si>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</si>
  <si>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</si>
  <si>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</si>
  <si>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</si>
  <si>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</si>
  <si>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</si>
  <si>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</si>
  <si>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</si>
  <si>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OCTUBRE 2023</t>
  </si>
  <si>
    <t>NOVIEMBRE 2023</t>
  </si>
  <si>
    <t>DICIEMBRE 2023</t>
  </si>
  <si>
    <t>VACIADO ANUAL 2023</t>
  </si>
  <si>
    <t>Mantenimiento a vehículos terrestres</t>
  </si>
  <si>
    <t>Mantto. A vehículos terrestres</t>
  </si>
  <si>
    <t>Renta muelle</t>
  </si>
  <si>
    <t>Personal por Outsourcing</t>
  </si>
  <si>
    <t>23-Ene-23</t>
  </si>
  <si>
    <t>13-Ene-23</t>
  </si>
  <si>
    <t>TP79097 / Pago Telcel DEO Enero 2023</t>
  </si>
  <si>
    <t>SS63379 / Repercusión INMARSAT BOAH Diciembre 2022 / Telecomunicaciones de México</t>
  </si>
  <si>
    <t>SS63378 / Porcentaje repercusión INMARSAT BOAH Diciembre 2022 / Telecomunicaciones de México</t>
  </si>
  <si>
    <t>SV109735 / Pedro Nuñez Cota / Tuxpan, Ver. / Boleto avión</t>
  </si>
  <si>
    <t>SV109735 / Pedro Nuñez Cota / Tuxpan, Ver. / Viáticos</t>
  </si>
  <si>
    <t>SV109736 / Carlos Enrique Ortiz de los Santos / Tuxpan, Ver. / Boleto avión</t>
  </si>
  <si>
    <t>SV109736 / Carlos Enrique Ortiz de los Santos / Tuxpan, Ver. / Viáticos</t>
  </si>
  <si>
    <t>SV109737 / Julio Cesar Nuñez Zamudio / Tuxpan, Ver. / Boleto avión</t>
  </si>
  <si>
    <t>SV109737 / Julio Cesar Nuñez Zamudio / Tuxpan, Ver. / Viáticos</t>
  </si>
  <si>
    <t>SV109738 / Erick Rafael Rivera Lemus / Tuxpan, Ver. / Boleto avión</t>
  </si>
  <si>
    <t>SV109738 / Erick Rafael Rivera Lemus / Tuxpan, Ver. / Viáticos y renta transporte</t>
  </si>
  <si>
    <t>30-Ene-23</t>
  </si>
  <si>
    <t>OC20230047 / Reembolso gastos renovación libreta de mar JCNZ</t>
  </si>
  <si>
    <t>SS63383 / Porcentaje repercusión INMARSAT BOAH Noviembre 2022 / Financiera para el bienestar</t>
  </si>
  <si>
    <t>SS63384 / Repercusión INMARSAT BOAH Noviembre 2022 / Financiera para el bienestar</t>
  </si>
  <si>
    <t>8-Feb-23</t>
  </si>
  <si>
    <t>SV109854 / Ivan Castro Navarro / Salida Rigel 10feb23</t>
  </si>
  <si>
    <t>SV109856 / Rosario Félix Reyes / Salida Rigel 10feb23</t>
  </si>
  <si>
    <t>SV109857 / Juan Carlos Leñero Vazquez / Salida Rigel 10feb23</t>
  </si>
  <si>
    <t>10-Feb-23</t>
  </si>
  <si>
    <t>SV109874 / Marco Antonio Castillo Ramírez / Tuxpan, Ver 15feb23 / Boleto avion</t>
  </si>
  <si>
    <t>SV109874 / Marco Antonio Castillo Ramírez / Tuxpan, Ver 15feb23 / Viáticos</t>
  </si>
  <si>
    <t>SV109875 / Gustavo Castro Navarro / Tuxpan, Ver 15feb23 / Boleto avion</t>
  </si>
  <si>
    <t>SV109875 / Gustavo Castro Navarro / Tuxpan, Ver 15feb23 / Viáticos</t>
  </si>
  <si>
    <t>SV109876 / Rosario Félix Reyes / Tuxpan, Ver 15feb23 / Boleto avion</t>
  </si>
  <si>
    <t>SV109876 / Rosario Félix Reyes / Tuxpan, Ver 15feb23 / Viáticos</t>
  </si>
  <si>
    <t>14-Feb-23</t>
  </si>
  <si>
    <t>SV109912 / Ivan Castro Navarro / Salida Rigel 17feb23</t>
  </si>
  <si>
    <t>SV109913 / Juan Carlos Leñero Vazquez / Salida Rigel 17feb23</t>
  </si>
  <si>
    <t>16-Feb-23</t>
  </si>
  <si>
    <t>SV109927 / Pedro Nuñez Cota / Ensenada, B. C. 17feb23 / Boleto avión</t>
  </si>
  <si>
    <t>SV109927 / Pedro Nuñez Cota / Ensenada, B. C. 17feb23 / Viáticos</t>
  </si>
  <si>
    <t>SV109932 / Carlos Enrique Ortiz de los Santos / Ensenada, B. C. 17feb23 / Boleto avión</t>
  </si>
  <si>
    <t>SV109932 / Carlos Enrique Ortiz de los Santos / Ensenada, B. C. 17feb23 / Viáticos</t>
  </si>
  <si>
    <t>SV109933 / Julio César Nuñez Zamudio / Ensenada, B. C. 17feb23 / Boleto avión</t>
  </si>
  <si>
    <t>SV109933 / Julio César Nuñez Zamudio / Ensenada, B. C. 17feb23 / Viáticos</t>
  </si>
  <si>
    <t>RFF11699 / Madera para remolque Antares, fusibles Rigel, herrería remolque Antares</t>
  </si>
  <si>
    <t>RFF11699 / Aceite transmisión y motor para 15C, calendario pared DEO 2023</t>
  </si>
  <si>
    <t>SS63490 / Recolección, traslado y confinamiento de aceite residual BOAH Feb23 / Reco Cero, S. A. de C. V.</t>
  </si>
  <si>
    <t>SS63548 / Mantenimiento a sistemas A/C BOAH Feb23 / Bernardino Telésforo Nuñez</t>
  </si>
  <si>
    <t>20-Feb-23</t>
  </si>
  <si>
    <t>SV109982 (624126) / Ivan Castro Navarro / Salida Rigel 21feb23</t>
  </si>
  <si>
    <t>SV109981 (624126) / Juan Carlos Leñero / Salida Rigel 21feb23</t>
  </si>
  <si>
    <t>SV109993 / Erick Rafael Rivera Lemus / Tuxpan, Ver 26feb-05mar23 / Boletos avión</t>
  </si>
  <si>
    <t>22-Feb-23</t>
  </si>
  <si>
    <t>SV109993 / Erick Rafael Rivera Lemus / Tuxpan, Ver 26feb-05mar23 / Viáticos</t>
  </si>
  <si>
    <t>SA85117 / Avit. De víveres al BOAH para estancia Feb23 / Ruvaships, S. A. de C. V.</t>
  </si>
  <si>
    <t>SA85055 / Químico preservativo de membranas y flujómetro para desaladora BOAH / Agencia Arjona, S. A. de C. V.</t>
  </si>
  <si>
    <t>SS63592 / Personal por outsourcing BOAH enero 2023 / Ingeniería del agua y medio ambiente, S. C.</t>
  </si>
  <si>
    <t>1-Mar-23</t>
  </si>
  <si>
    <t>SV110065 (624126) / Juan Carlos Leñero Vazquez / Salida Rigel 03mar23</t>
  </si>
  <si>
    <t>SV110066 (624126) / Ivan Castro Navarro / Salida Rigel 03mar23</t>
  </si>
  <si>
    <t>SV110067 (624126) / José Ramón López Chico / Salida Rigel 03mar23</t>
  </si>
  <si>
    <t>SV110105 (624126) / Juan Carlos Leñero Vazquez / Salida Rigel 09mar23</t>
  </si>
  <si>
    <t>8-Mar-23</t>
  </si>
  <si>
    <t>SV110106 (624126) / Ivan Castro Navarro / Salida Rigel 09mar23</t>
  </si>
  <si>
    <t>SV110141 / Rosario Félix Reyes / Ensenada, B. C. 10mar23 / Boleto avión</t>
  </si>
  <si>
    <t>SV110141 / Rosario Félix Reyes / Ensenada, B. C. 10mar23 / Viáticos</t>
  </si>
  <si>
    <t>10-Mar-23</t>
  </si>
  <si>
    <t>SV110142 / Marco Antonio Castillo Ramírez / Ensenada, B. C. 10mar23 / Boleto avión</t>
  </si>
  <si>
    <t>SV110142 / Marco Antonio Castillo Ramírez / Ensenada, B. C. 10mar23 / Viáticos</t>
  </si>
  <si>
    <t>SV110143 / Gustavo Castro Navarro / Ensenada, B. C. 10mar23 / Boleto avión</t>
  </si>
  <si>
    <t>SV110143 / Gustavo Castro Navarro / Ensenada, B. C. 10mar23 / Viáticos</t>
  </si>
  <si>
    <t>12-Abr-23</t>
  </si>
  <si>
    <t>SS63891 / Personal por Outsourcing BOAH feb23 / Ingeniería del Agua y Medio Ambiente, S. C.</t>
  </si>
  <si>
    <t>11-Abr-23</t>
  </si>
  <si>
    <t>SS63874 / Renta muelle y energía eléctrica del mes de marzo 2023 / Compañía Mexicana de Soluciones Onshore, S. de R. L. de C. V.</t>
  </si>
  <si>
    <t>10-Abr-23</t>
  </si>
  <si>
    <t>SS63866 / Cambio de bujías, dos coils y lavado inyectores motor 15-C / René López Magdaleno</t>
  </si>
  <si>
    <t>SS63837 / Personal por Outsourcing BOAH marzo 2023 / Arkadiarium, S. A. de C. V.</t>
  </si>
  <si>
    <t>SS63784 / Repercusión INMARSAT BOAH Febrero 2023 / Financiera del Bienestar</t>
  </si>
  <si>
    <t>SS63783 / Porcentaje de repercusión INMARSAT BOAH Febrero 2023 / Financiera del Bienestar</t>
  </si>
  <si>
    <t>SS63730 / Póliza seguro externos DEO 2023 / AIG Seguros México, S. A. de C. V.</t>
  </si>
  <si>
    <t>SS63727 / Renta muelle y energía eléctrica BOAH febrero 2023 / Compañía Mexicana de Soluciones Onshore, S. de R. L. de C. V.</t>
  </si>
  <si>
    <t>SS63726 / Renta muelle y energía eléctrica BOAH enero 2023 / Compañía Mexicana de Soluciones Onshore, S. de R. L. de C. V.</t>
  </si>
  <si>
    <t>SS63701 / Porcentaje de repercusión INMARSAT BOAH Enero 2023 / Financiera del Bienestar</t>
  </si>
  <si>
    <t>SS63700 / Repercusión INMARSAT BOAH Enero 2023 / Financiera del Bienestar</t>
  </si>
  <si>
    <t>13-Abr-23</t>
  </si>
  <si>
    <t>SA85541 / Materiales para mesita de café del DEO / Smart and Final del Noroeste, S. A. de C. V.</t>
  </si>
  <si>
    <t>SA85497 / Materiales de limpieza para buque / Ruvaships, S. A. de C. V.</t>
  </si>
  <si>
    <t>SA85440 / Avit. Víveres para estancia personal Mar23 / Ruvaships, S. A. de C. V.</t>
  </si>
  <si>
    <t>GRC103224 / Triplays en Tuxpan para máquinas BOAH, tubería y soldadura</t>
  </si>
  <si>
    <t>GRC103199 / Tubo y niple, soldadura, grasera, grapas</t>
  </si>
  <si>
    <t>GRC103199 / Avit. Víveres para estancia enero 2023</t>
  </si>
  <si>
    <t>SV110397 (624126) / Juan Carlos Leñero Vazquez / Salida Rigel 11abr23</t>
  </si>
  <si>
    <t>SV110356 (624126) / José Ramón López Chico / Salida Rigel 11abr23</t>
  </si>
  <si>
    <t>27-Mar-23</t>
  </si>
  <si>
    <t>SV110289 / Ivan Castro Navarro / Salida a BLA 28-29mar23</t>
  </si>
  <si>
    <t>SV110287 / Juan Carlos Leñero Vazquez / Salida a BLA 28-29mar23</t>
  </si>
  <si>
    <t>SV110287 / Gasolina para viaje a BLA</t>
  </si>
  <si>
    <t>17-Mar-23</t>
  </si>
  <si>
    <t>SV110231 / Julio César Nuñez Zamudio / ENS-TUX-ENS 21-31mar23 / Boleto avión</t>
  </si>
  <si>
    <t>SV110231 / Julio César Nuñez Zamudio / ENS-TUX-ENS 21-31mar23 / Viáticos</t>
  </si>
  <si>
    <t>SV110230 / Carlos Enrique Ortiz de los Santos / ENS-TUX-ENS 21-31mar23 / Boleto avión</t>
  </si>
  <si>
    <t>SV110230 / Carlos Enrique Ortiz de los Santos / ENS-TUX-ENS 21-31mar23 / Viáticos</t>
  </si>
  <si>
    <t>SV110229 / Pedro Nuñez Cota / ENS-TUX-EBS 21-31mar23 / Boleto avión</t>
  </si>
  <si>
    <t>SV110229 / Pedro Nuñez Cota / ENS-TUX-EBS 21-31mar23 / Viáticos</t>
  </si>
  <si>
    <t>SV110422 (624126) / Juan Carlos Leñero Vazquez / Salida Rigel 19abr23</t>
  </si>
  <si>
    <t>SV110423 (624126) / Ivan Castro Navarro / Salida Rigel 19abr23</t>
  </si>
  <si>
    <t>SV110228 (624126) / Juan Carlos Leñero Vazquez / Salida Rigel 17mar23</t>
  </si>
  <si>
    <t>SV110227 (624126) / Ivan Castro Navarro / Salida Rigel 17mar23</t>
  </si>
  <si>
    <t>SV110425 (624126) / Ivan Castro Navarro / Salida Rigel 24abr23</t>
  </si>
  <si>
    <t>SV110426 (624126) / Juan Carlos Leñero Vazquez / Salida Rigel 24abr23</t>
  </si>
  <si>
    <t>SV110427 (624126) / Juan Carlos Leñero Vazquez / Salida Rigel 25may23</t>
  </si>
  <si>
    <t>22-Mar-23</t>
  </si>
  <si>
    <t>OC20230255 (624126) / Reembolso viáticos ICN salida a EPB ICN 02mar23</t>
  </si>
  <si>
    <t>OC20230253 / Baterías para UPS BOAH mar23</t>
  </si>
  <si>
    <t>OC20230081 / Mantenimiento a motor eléctrico BOAH</t>
  </si>
  <si>
    <t>OC20230062 / Avit. Víveres para estancia enero 2023</t>
  </si>
  <si>
    <t>OC20230062 / Papelería y madera</t>
  </si>
  <si>
    <t>TP80569 / Pago Telcel DEO</t>
  </si>
  <si>
    <t>TP80247 / Pago derechos placas remolque Rigel y unidad 15-C</t>
  </si>
  <si>
    <t>TP80090 / Pago Telcel DEO</t>
  </si>
  <si>
    <t>TP79636 / Pago Telcel DEO</t>
  </si>
  <si>
    <t>TP80495 / PV1052915 / Renta unidad 3D viaje a BLA marzo 2023</t>
  </si>
  <si>
    <t>TP80510 / PV1052934 / Transportación con chofer de Tijuana a Ensenada 31mar23</t>
  </si>
  <si>
    <t>TP80345 / PV1052888 / Transportación con chofer a aeropuerto Tijuana 20-21mar23</t>
  </si>
  <si>
    <t>TP80148 / PV1052863 / Transportación con chofer de aeropuerto Tijuana 10mar23</t>
  </si>
  <si>
    <t>TP80126 / PV1052806 / Transportación con chofer de aeropuerto Tijuana 05mar23</t>
  </si>
  <si>
    <t>TP79941 / PV1052805 / Transportación con chofer al aeropuerto Tijuana 26feb23</t>
  </si>
  <si>
    <t>TP79827 / PV1052790 / Transportación con chofer del aeropuerto Tijuana 17feb23</t>
  </si>
  <si>
    <t>TP79820 / PV1052773 / Transportación con chofer al aeropuerto Tijuana 15feb23</t>
  </si>
  <si>
    <t>TP79612 / PV1052732 / Transportación con chofer del aeropuerto 03feb23</t>
  </si>
  <si>
    <t>PV1052731 / TP79277 / Transportación con chofer al aeropuerto Tijuana enero 2023</t>
  </si>
  <si>
    <t>RFF11822 / Gasolina 15-C</t>
  </si>
  <si>
    <t>RFF11822 / Gasolina Rigel</t>
  </si>
  <si>
    <t>RFF11822 / Banderas Mexicanas</t>
  </si>
  <si>
    <t>RFF11822 / Suministro de agua en pipa al BOAH</t>
  </si>
  <si>
    <t>RFF11822 / Baterías para UPSs oficina DEO, discos abrasivos para quitar base de poste patio trasero</t>
  </si>
  <si>
    <t>30-May-23</t>
  </si>
  <si>
    <t>SS64337 / Inspecciones anuales 2023 / American Bureau of Shipping</t>
  </si>
  <si>
    <t>SS64280 / Mantenimiento a 4 baños del BOAH / Ruvaships, S. A. de C. V.</t>
  </si>
  <si>
    <t>SS64164 / Mantenimiento a radiador 15-C / Esther Marina Parra Mora</t>
  </si>
  <si>
    <t>SS64139 / Agenciamientos para traslado TUX-COA abril 2023 / Tajin Consignaciones, S. A. de C. V.</t>
  </si>
  <si>
    <t>SS64131 / Renta muelle BOAH Tuxpan Abril 2023 / Compañía Mexicana de Soluciones Onshore, S. de R. L. de C. V.</t>
  </si>
  <si>
    <t>28-Abr-23</t>
  </si>
  <si>
    <t>SS64058 / Personal por outsourcing BOAH abr23 / Arkadiarium, S. A. de C. V.</t>
  </si>
  <si>
    <t>SA85867 / 28 Luces estrobo para chalecos de emergencia BOAH / Agencia Arjona, S. A. de C. V.</t>
  </si>
  <si>
    <t>SA85852 / Dos piquetas y puntas para mantenimiento BOAH / Agencia Arjona, S. A. de C. V.</t>
  </si>
  <si>
    <t>26-Abr-23</t>
  </si>
  <si>
    <t>SA85641 / Avit. Víveres crucero InstBOC y traslados TUX-COA y COA-TUX / Ruvaships, S. A. de C. V.</t>
  </si>
  <si>
    <t>SA85641 / Abast. Mats. Limp. Abr23 / Ruvaships, S. A. de C. V.</t>
  </si>
  <si>
    <t>19-May-23</t>
  </si>
  <si>
    <t>SV110770 (624126) / Viáticos salida Rigel 23-May-23 / Ivan Castro Navarro</t>
  </si>
  <si>
    <t>SV110769 (624126) / Viáticos salida Rigel 23-May-23 / Juan Carlos Leñero Vazquez</t>
  </si>
  <si>
    <t>SV110768 / Juan Carlos Leñero Vazquez / TUX-ENS 20may23 / Boleto avión</t>
  </si>
  <si>
    <t>SV110768 / Juan Carlos Leñero Vazquez / TUX-ENS 20may23 / Viáticos</t>
  </si>
  <si>
    <t>SV110758 / Julio César Nuñez Zamudio / TUX-ENS 20may23 / Boleto avión</t>
  </si>
  <si>
    <t>SV110758 / Julio César Nuñez Zamudio / TUX-ENS 20may23 / Viáticos</t>
  </si>
  <si>
    <t>SV110757 / Marco Antonio Castillo Ramírez / TUX-ENS 20may23 / Boleto avión</t>
  </si>
  <si>
    <t>SV110757 / Marco Antonio Castillo Ramírez / TUX-ENS 20may23 / Viáticos</t>
  </si>
  <si>
    <t>SV110756 / Gustavo Castro Navarro / TUX-ENS 20may23 / Boleto avión</t>
  </si>
  <si>
    <t>SV110756 / Gustavo Castro Navarro / TUX-ENS 20may23 / Viáticos</t>
  </si>
  <si>
    <t>SV110755 / Carlos Enrique Ortiz de los Santos / TUX-ENS 20may23 / Boleto avión</t>
  </si>
  <si>
    <t>SV110755 / Carlos Enrique Ortiz de los Santos / TUX-ENS 20may23 / Viáticos</t>
  </si>
  <si>
    <t>SV110754 / Pedro Nuñez Cota / TUX-ENS 20may23 / Boleto avión</t>
  </si>
  <si>
    <t>SV110754 / Pedro Nuñez Cota / TUX-ENS 20may23 / Viáticos</t>
  </si>
  <si>
    <t>SV110752 / Erick Rafael Rivera Lemus / TUX-ENS 20may23 / Boleto avión</t>
  </si>
  <si>
    <t>SV110752 / Erick Rafael Rivera Lemus / TUX-ENS 20may23 / Viáticos</t>
  </si>
  <si>
    <t>SV110587 / Erick Rafael Rivera Lemus / TUX-COA y estancia COA pre-crucero abr-may23</t>
  </si>
  <si>
    <t>27-Abr-23</t>
  </si>
  <si>
    <t>24-Abr-23</t>
  </si>
  <si>
    <t>SV110551 / José Ramón López Chico / TUX-ENS 27abr23 (Boleto avión)</t>
  </si>
  <si>
    <t>SV110551 / José Ramón López Chico / TUX-ENS 27abr23 (Viáticos)</t>
  </si>
  <si>
    <t>SV110502 / Erick Rafael Rivera Lemus / ENS-TUX 25abr23 (Viáticos)</t>
  </si>
  <si>
    <t>20-Abr-23</t>
  </si>
  <si>
    <t>SV110502 / Erick Rafael Rivera Lemus / ENS-TUX 25abr23 (Boleto avión)</t>
  </si>
  <si>
    <t>SV110501 / Juan Carlos Leñero Vazquez / ENS-TUX 25abr23 (Boleto avión)</t>
  </si>
  <si>
    <t>SV110501 / Juan Carlos Leñero Vazquez / ENS-TUX 25abr23 (Viáticos)</t>
  </si>
  <si>
    <t>SV110500 / José Ramón López Chico / ENS-TUX 24abr23 (Boleto avión)</t>
  </si>
  <si>
    <t>SV110500 / José Ramón López Chico / ENS-TUX 24abr23 (Viáticos)</t>
  </si>
  <si>
    <t>SV110499 / Gustavo Castro Navarro / ENS-TUX 24abr23 (Boleto avión)</t>
  </si>
  <si>
    <t>SV110499 / Gustavo Castro Navarro / ENS-TUX 24abr23 (Viáticos)</t>
  </si>
  <si>
    <t>SV110498 / Marco Antonio Castillo Ramírez / ENS-TUX 24abr23 (Boleto avión)</t>
  </si>
  <si>
    <t>SV110498 / Marco Antonio Castillo Ramírez / ENS-TUX 24abr23 (Viáticos)</t>
  </si>
  <si>
    <t>SV110497 / Julio César Nuñez Zamudio / ENS-TUX 24abr23 (Boleto avión)</t>
  </si>
  <si>
    <t>SV110497 / Julio César Nuñez Zamudio / ENS-TUX 24abr23 (Viáticos)</t>
  </si>
  <si>
    <t>SV110496 / Carlos Enrique Ortiz de los Santos / ENS-TUX 24abr23 (Boleto avión)</t>
  </si>
  <si>
    <t>SV110496 / Carlos Enrique Ortiz de los Santos / ENS-TUX 24abr23 (Viáticos)</t>
  </si>
  <si>
    <t>SV110495 / Pedro Nuñez Cota / ENS-TUX 24abr23 (Boleto avión)</t>
  </si>
  <si>
    <t>SV110495 / Pedro Nuñez Cota / ENS-TUX 24abr23 (Viáticos)</t>
  </si>
  <si>
    <t>14-Abr-23</t>
  </si>
  <si>
    <t>SV110433 (624126) / Ivan Castro Navarro / Salida Rigel 25-may-23</t>
  </si>
  <si>
    <t>SA85937 / Switches de presión aceite para máquinas / Eliasib Birzayit Mendoza Luna</t>
  </si>
  <si>
    <t>21-Abr-23</t>
  </si>
  <si>
    <t>TP80741 / PV1052992 / Transportación con chofer al Aeropuerto de Tijuana 24abr23</t>
  </si>
  <si>
    <t>TP80834 / PV1052994 / Transportación con chofer al Aeropuerto de Tijuana 25abr23</t>
  </si>
  <si>
    <t>TP80982 / PV1053000 / Transportación con chofer del Aeropuerto de Tijuana 27abr23</t>
  </si>
  <si>
    <t>TP81350 / PV1053078 / Transportación del aeropuerto de Tijuana 20may23</t>
  </si>
  <si>
    <t>TP81489 / Cobro telefonía interna</t>
  </si>
  <si>
    <t>TP81574 / Cobro telefonía interna</t>
  </si>
  <si>
    <t>SA86028 / 2 Tibores de aceite Phillips 66 T5X para motogens BOAH / Rudametkin Distribuidora, S. A. de C. V.</t>
  </si>
  <si>
    <t>SA85986 / Luces LED para remolque Rigel / María Teresa Reynoso Loera</t>
  </si>
  <si>
    <t xml:space="preserve">26-May-23 </t>
  </si>
  <si>
    <t>SA85905 (621808) / Ecosonda Simrad Cruise 9 para Rigel / Erick Rafael Rivera Lemus</t>
  </si>
  <si>
    <t>SS64504 / Renta de muelle y electricidad BOAH mayo 2023 / Compañía Mexicana de Soluciones Onshore, S. de R. L. de C. V.</t>
  </si>
  <si>
    <t>OC20230568 (624602) / Termómetro para toma temperaturas a personal a bordo del BOAH</t>
  </si>
  <si>
    <t>18-Abr-23</t>
  </si>
  <si>
    <t>OC20230353 (624126) / Reembolso viáticos ICN salida 11abr23</t>
  </si>
  <si>
    <t>GRC103291 / Pago derechos en Tuxpan y Coatza operaciones BOAH abr-may23</t>
  </si>
  <si>
    <t>GRC103283 / Limpieza de ropa de cama en TUX previo cruceros</t>
  </si>
  <si>
    <t>GRC103283 / Pago derechos, sanidad y lanchaje</t>
  </si>
  <si>
    <t>SS64585 (624602) / Actualización de plano de seguridad BOAH / Uni Group Ingeniería y Ultrasonido, S. de R. L. de C. V.</t>
  </si>
  <si>
    <t>SS64582 (624602) / Pago de personal por Outsourcing junio 2023 / Arkadiarium, S. A. de C. V.</t>
  </si>
  <si>
    <t>SA64535 (624602) / Elaboración de cálculo de arqueo Rigel / Uni Group Ingeniería y Ultrasonido, S. de R. L. de C. V.</t>
  </si>
  <si>
    <t>SS64394 (624602) / Pago de personal por Outsourcing mayo 2023 / Arkadiarium, S. A. de C. V.</t>
  </si>
  <si>
    <t>TP82055 / Traspaso para cubrir costo de ropa trabajo personal DEO 2023</t>
  </si>
  <si>
    <t>OC20230681 (624602) / Lavandería de ropa cama BOAH mayo 2023</t>
  </si>
  <si>
    <t>OC20230681 (624602) / Materiales de limpieza para BOAH mayo 2023</t>
  </si>
  <si>
    <t>RFF11900 (624602) / Recolección de basura BOAH Julio 2023</t>
  </si>
  <si>
    <t>RFF11900 (624602) / Pago derechos IFT licencia radio BOAH</t>
  </si>
  <si>
    <t>RFF11900 / Envío documentos a CDMX para trámite licencia radio BOAH</t>
  </si>
  <si>
    <t>RFF11900 (624602) / Agua para beber BOAH</t>
  </si>
  <si>
    <t>RFF11900 (624602) / Aditivo antiburbuja para epóxico pisos BOAH</t>
  </si>
  <si>
    <t>RFF11900 (624602) / Resortes para cuerpo aceleración Rigel</t>
  </si>
  <si>
    <t>RFF11900 (624602) / Gasolina en Tuxpan</t>
  </si>
  <si>
    <t>RFF11897 (624602) / Gasolina Rigel</t>
  </si>
  <si>
    <t>RFF11897 (624602) / Gasolina 15-C</t>
  </si>
  <si>
    <t>RFF11897 (624602) / Pago derechos revisión cuadro obligaciones y plano seguridad BOAH</t>
  </si>
  <si>
    <t>RFF11897 (624602) / Renta slip Rigel en marina Coral</t>
  </si>
  <si>
    <t>RFF11897 (624602) / Agua para beber BOAH</t>
  </si>
  <si>
    <t>RFF11897 (624602) / Tapón para cola de pato y llave para apriete cola pato Rigel</t>
  </si>
  <si>
    <t>28-Jun-23</t>
  </si>
  <si>
    <t>SV11224 (624126) / Viáticos salida Rigel 30jun23 JCLV</t>
  </si>
  <si>
    <t>SV11223 (624126) / Viáticos salida Rigel 30jun23 ICN</t>
  </si>
  <si>
    <t>SV11222 (624126) / Viáticos salida Rigel 29jun23 ICN</t>
  </si>
  <si>
    <t>SV11221 (624126) / Viáticos salida Rigel 29jun23 JCLV</t>
  </si>
  <si>
    <t>19-Jun-23</t>
  </si>
  <si>
    <t>SV111129 (624126) / Viáticos prospección Eréndira 21jun23 ICN</t>
  </si>
  <si>
    <t>SV111128 (624126) / Viáticos prospección Eréndira 21jun23 JCLV</t>
  </si>
  <si>
    <t>SV111116 (624126) / Viáticos salida Rigel 20jun23 ICN</t>
  </si>
  <si>
    <t>SV111115 (624126) / Viáticos salida Rigel 20jun23 JCLV</t>
  </si>
  <si>
    <t>SV111044 (624108) / Marco Antonio Castillo Ramírez / Viáticos ENS-TUX 19jun23</t>
  </si>
  <si>
    <t>15-Jun-23</t>
  </si>
  <si>
    <t>SV111044 (624108) / Marco Antonio Castillo Ramírez / Boleto avión</t>
  </si>
  <si>
    <t>SV111043 (624108) / José Ramón López Chico / Viáticos ENS-TUX 19jun23</t>
  </si>
  <si>
    <t>SV111043 (624108) / José Ramón López Chico / Boleto avión</t>
  </si>
  <si>
    <t>SV111042 (624108) / Julio Cesar Nuñez Zamudio / Viáticos ENS-TUX 19jun23</t>
  </si>
  <si>
    <t>SV111042 (624108) / Julio Cesar Nuñez Zamudio / Boleto avión</t>
  </si>
  <si>
    <t>SV111041 (624108) / Rosario Félix Reyes / Viáticos ENS-TUX 19jun23</t>
  </si>
  <si>
    <t>SV111041 (624108) / Rosario Félix Reyes / Boleto avión</t>
  </si>
  <si>
    <t>SV111040 (624108) / Carlos Enrique Ortiz de los Santos / Viáticos ENS-TUX 19jun23</t>
  </si>
  <si>
    <t>SV111040 (624108) / Carlos Enrique Ortiz de los Santos / Boleto avión</t>
  </si>
  <si>
    <t>SV111039 (624108) / Pedro Nuñez Cota / Viáticos ENS-TUX 19jun23</t>
  </si>
  <si>
    <t>SV111039 (624108) / Pedro Nuñez Cota / Boleto avión</t>
  </si>
  <si>
    <t>SV111038 (624108) / Gustavo Castro Navarro / Viáticos ENS-TUX 20jun23</t>
  </si>
  <si>
    <t>SV111038 (624108) / Gustavo Castro Navarro / Boleto avión</t>
  </si>
  <si>
    <t>14-Jun-23</t>
  </si>
  <si>
    <t>SV111130 (624602) / Erick Rafael Rivera Lemus / Renta automóvil en Tuxpan jun23</t>
  </si>
  <si>
    <t>SV111030 (624108) / Erick Rafael Rivera Lemus / Viáticos MXL-TUX 18jun23 y estancia pre crucero</t>
  </si>
  <si>
    <t>SV111030 (624108) / Erick Rafael Rivera Lemus / Boleto avión</t>
  </si>
  <si>
    <t>SS64510 (624602) / Repercusión INMARSAT BOAH Marzo 2023 / Financiera del Bienestar</t>
  </si>
  <si>
    <t>SS64511 (624602) / Porcentaje repercusión INMARSAT BOAH Marzo 2023 / Financiera del Bienestar</t>
  </si>
  <si>
    <t>SS64513 (624602) / Porcentaje repercusión INMARSAT BOAH Abril 2023 / Financiera del Bienestar</t>
  </si>
  <si>
    <t>SS64514 (624602) / Repercusión INMARSAT BOAH Abril 2023 / Financiera del Bienestar</t>
  </si>
  <si>
    <t>SS64772 (624602) / Repercusión INMARSAT BOAH Mayo 2023 / Financiera del Bienestar</t>
  </si>
  <si>
    <t>SS64771 (624602) / Porcentaje repercusión INMARSAT BOAH Mayo 2023 / Financiera del Bienestar</t>
  </si>
  <si>
    <t>SS64835 (624602) / Pago de personal por Outsourcing julio 2023 / Arkadiarium, S. A. de C. V.</t>
  </si>
  <si>
    <t>7-Ago-23</t>
  </si>
  <si>
    <t>14-Ago-23</t>
  </si>
  <si>
    <t>SS64896 (624602) / Pago derechos exportación temporal CTD DEO / Agencia Aduanal Pérez Ortiz, S. C.</t>
  </si>
  <si>
    <t>SS64898 (624602) / Recarga de extintores Rigel 2023 / SOS Balsas y extintores de Baja California, S. A. de C. V.</t>
  </si>
  <si>
    <t>15-Ago-23</t>
  </si>
  <si>
    <t>SS64907 (624602) / Renta de muelle y electricidad junio 2023 / Compañía Mexicana de Soluciones Onshore, S. de R. L. de C. V.</t>
  </si>
  <si>
    <t>17-Ago-23</t>
  </si>
  <si>
    <t>SS64916 (624602) / Servicio de Internet Stalink 400Gb para crucero Canek 28 / Eliasib Birzayit Mendoza Luna</t>
  </si>
  <si>
    <t>18-Ago-23</t>
  </si>
  <si>
    <t>SS64929 (624602) / Pago envío CTD de San Diego a Bellevue / Miramar Customs Brokers, Inc.</t>
  </si>
  <si>
    <t>22-Ago-23</t>
  </si>
  <si>
    <t>SS64945 / Porcentaje repercusión INMARSAT BOAH Junio 2023 / Financiera del Bienestar</t>
  </si>
  <si>
    <t>SS64946 / Repercusión INMARSAT BOAH Junio 2023 / Financiera del Bienestar</t>
  </si>
  <si>
    <t>SS64947 / Porcentaje repercusión INMARSAT BOAH Julio 2023 / Financiera del Bienestar</t>
  </si>
  <si>
    <t>SS64950 / Repercusión INMARSAT BOAH Julio 2023 / Financiera del Bienestar</t>
  </si>
  <si>
    <t>SV111547 (624602) / Julio Cesar Nuñez Zamudio / ENS-TUX 16ago23 / Viáticos</t>
  </si>
  <si>
    <t>SV111547 (624602) / Julio Cesar Nuñez Zamudio / ENS-TUX 16ago23 / Boleto avión</t>
  </si>
  <si>
    <t>SV111533 (624602) / Rosario Félix Reyes / ENS-TUX 16ago23 / Boleto avión</t>
  </si>
  <si>
    <t>SV111533 (624602) / Rosario Félix Reyes / ENS-TUX 16ago23 / Viáticos</t>
  </si>
  <si>
    <t>SV111531 (624602) / Marco Antonio Castillo Ramírez / ENS-TUX 16ago23 / Boleto avión</t>
  </si>
  <si>
    <t>SV111531 (624602) / Marco Antonio Castillo Ramírez / ENS-TUX 16ago23 / Viáticos</t>
  </si>
  <si>
    <t>SV111530 (624602) / Carlos Enrique Ortiz de los Santos / ENS-TUX 16ago23 / Boleto avión</t>
  </si>
  <si>
    <t>SV111530 (624602) / Carlos Enrique Ortiz de los Santos / ENS-TUX 16ago23 / Viáticos</t>
  </si>
  <si>
    <t>SV111529 (624602) / Pedro Nuñez Cota / ENS-TUX 16ago23 / Boleto avión</t>
  </si>
  <si>
    <t>SV111529 (624602) / Pedro Nuñez Cota / ENS-TUX 16ago23 / Viáticos</t>
  </si>
  <si>
    <t>SV111525 (624602) / Gustavo Castro Navarro / ENS-TUX 16ago23 / Boleto avión</t>
  </si>
  <si>
    <t>SV111525 (624602) / Gustavo Castro Navarro / ENS-TUX 16ago23 / Viáticos</t>
  </si>
  <si>
    <t>11-Ago-23</t>
  </si>
  <si>
    <t>SV111520 (624602) / Juan Carlos Leñero / ENS-TUX-ENS 16-25ago23 / Boleto avión ida</t>
  </si>
  <si>
    <t>SV111520 (624602) / Juan Carlos Leñero / ENS-TUX-ENS 16-25ago23 / Viáticos</t>
  </si>
  <si>
    <t>SV111519 (624602) / Erick Rafael Rivera Lemus / ENS-TUX-ENS 16-25ago23 / Boleto avión ida</t>
  </si>
  <si>
    <t>SV111519 (624602) / Erick Rafael Rivera Lemus / ENS-TUX-ENS 16-25ago23 / Viáticos</t>
  </si>
  <si>
    <t>11-Jul-23</t>
  </si>
  <si>
    <t>SV111366 (624602) / Rosario Félix Reyes / TUX-ENS 14jul23 / Boleto avión</t>
  </si>
  <si>
    <t>SV111366 (624602) / Rosario Félix Reyes / TUX-ENS 14jul23 / Viáticos</t>
  </si>
  <si>
    <t>SV111365 (624602) / Carlos Enrique Ortiz de los Santos / TUX-ENS 14jul23 / Boleto avión</t>
  </si>
  <si>
    <t>SV111365 (624602) / Carlos Enrique Ortiz de los Santos / TUX-ENS 14jul23 / Viáticos</t>
  </si>
  <si>
    <t>SV111364 (624602) / Pedro Nuñez Cota / TUX-ENS 14jul23 / Boleto avión</t>
  </si>
  <si>
    <t>SV111364 (624602) / Pedro Nuñez Cota / TUX-ENS 14jul23 / Viáticos</t>
  </si>
  <si>
    <t>SV111363 (624602) / Marco Antonio Castillo Ramírez / TUX-ENS 14jul23 / Boleto avión</t>
  </si>
  <si>
    <t>SV111363 (624602) / Marco Antonio Castillo Ramírez / TUX-ENS 14jul23 / Viáticos</t>
  </si>
  <si>
    <t>SV111362 (624602) / José Ramón López Chico / TUX-ENS 14jul23 / Boleto avión</t>
  </si>
  <si>
    <t>SV111362 (624602) / José Ramón López Chico / TUX-ENS 14jul23 / Viáticos</t>
  </si>
  <si>
    <t>SV111361 (624602) / Julio Cesar Nuñez Zamudio / TUX-ENS 14jul23 / Boleto avión</t>
  </si>
  <si>
    <t>SV111361 (624602) / Julio Cesar Nuñez Zamudio / TUX-ENS 14jul23 / Viáticos</t>
  </si>
  <si>
    <t>SV111360 (624602) / Gustavo Castro Navarro / TUX-ENS 14jul23 / Boleto avión</t>
  </si>
  <si>
    <t>SV111360 (624602) / Gustavo Castro Navarro / TUX-ENS 14jul23 / Viáticos</t>
  </si>
  <si>
    <t>4-Jul-23</t>
  </si>
  <si>
    <t>SV111256 (624602) / Erick Rafael Rivera Lemus / TUX-ENS 07jul23 / Boleto avión</t>
  </si>
  <si>
    <t>SV111256 (624602) / Erick Rafael Rivera Lemus / TUX-ENS 07jul23 / Viáticos</t>
  </si>
  <si>
    <t>SV111224 (624126) / Juan Carlos Leñero / Salida Rigel 30jun23</t>
  </si>
  <si>
    <t>SV111223 (624126) / Iván Castro Navarro / Salida Rigel 30jun23</t>
  </si>
  <si>
    <t>SV111222 (624126) / Iván Castro Navarro / Salida Rigel 29jun23</t>
  </si>
  <si>
    <t>SV111221 (624126) / Juan Carlos Leñero / Salida Rigel 29jun23</t>
  </si>
  <si>
    <t>9-Ago-23</t>
  </si>
  <si>
    <t>SA86438 (624602) / Fundas Nicopress diferentes tamaños para BOAH / Eliasib Birzayit Mendoza Luna</t>
  </si>
  <si>
    <t>SA86396 (624602) / 4 Luces LED para aros salvavidas ACR 3947 SM-3 / Agencia Arjona, S. A. de C. V.</t>
  </si>
  <si>
    <t>31-Ago-23</t>
  </si>
  <si>
    <t>RFF11963 (624602) / Gas R22</t>
  </si>
  <si>
    <t>RFF11963 (624602) / Suministro de agua en pipa TUX ago23, recolección basura</t>
  </si>
  <si>
    <t>RFF11963 (624602) / Envío documentos a Tuxpan</t>
  </si>
  <si>
    <t>RFF11963 (624602) / Gasolina vehículos TUX</t>
  </si>
  <si>
    <t>RFF11963 (624602) / Bolsas basura, mats limpieza TUX, desengrasante, toallas amarillas</t>
  </si>
  <si>
    <t>RFF11963 (624602) / Cable extensión transductor nuevo ecosonda Rigel, adhesivo epóxico</t>
  </si>
  <si>
    <t>RFF11963 (624602) / Papelería, lentes y guantes carnaza, solera</t>
  </si>
  <si>
    <t>OC20230779 (624602) / Sanidad, agenciamiento y derechos SEMAR atraque BOAH TUX post InstBOC</t>
  </si>
  <si>
    <t>GRC103332 (624602) / Víveres cruceros RecupBOC y Canek</t>
  </si>
  <si>
    <t>GRC103331 (624602) / Pago derechos examen psicofísico y expedición libreta mar ERRL</t>
  </si>
  <si>
    <t>GRC103331 (624602) / Pago derechos SEMAR atraques y zarpes BOAH Jun-Jul23</t>
  </si>
  <si>
    <t>GRC103331 (624602) / Pintura para pisos BOAH</t>
  </si>
  <si>
    <t>GRC103331 (624602) / Agenciamientos TUX movimientos BOAH jun-jul23</t>
  </si>
  <si>
    <t>GRC103331 (624602) / Pago derechos cursos para libreta mar ERRL</t>
  </si>
  <si>
    <t>GRC103331 (624602) / Servicio de buceo para limpieza rejilla fondo BOAH</t>
  </si>
  <si>
    <t>GRC103331 (624602) / Servicio de mantenimiento aires acondicionados</t>
  </si>
  <si>
    <t>GRC103331 (624602) / Tramo de armaflex</t>
  </si>
  <si>
    <t>GRC103331 (624602) / Envío de CTD a Ensenada</t>
  </si>
  <si>
    <t>GRC103331 (624602) / Lavandería de ropa de cama julio 2023</t>
  </si>
  <si>
    <t>RFF11969 / Gasolina para Rigel</t>
  </si>
  <si>
    <t>RFF11969 / Removedor de pintura Comex</t>
  </si>
  <si>
    <t>RFF11969 / Gasolina 15-C</t>
  </si>
  <si>
    <t>RFF11969 / Garrafones de agua para buque</t>
  </si>
  <si>
    <t>RFF11969 / Bolsas para basura</t>
  </si>
  <si>
    <t>RFF11969 / 3 Tambores de plástico para recolección de aceite residual, trapos, codo acero</t>
  </si>
  <si>
    <t>RFF11969 / Agua en pipa para BOAH, electrodos</t>
  </si>
  <si>
    <t>RFF11979 / Materiales para preparativos Noche de las Ciencias</t>
  </si>
  <si>
    <t>RFF11979 / Tambores de plástico, sellos cónicos, careta soldar, electrodos</t>
  </si>
  <si>
    <t>RFF11979 / Rodillo y zapatos pico</t>
  </si>
  <si>
    <t>RFF11979 / Filtros cafetera, servilletas</t>
  </si>
  <si>
    <t>RFF11979 / Liberador hidrostático para EPIRB BOAH</t>
  </si>
  <si>
    <t>RFF11979 / Envío oficio a IFT</t>
  </si>
  <si>
    <t>SS65107 (624602) / Personal outsourcing agosto 2023 / Arkadiarium, S. A. de C. V.</t>
  </si>
  <si>
    <t>SS65194 (624602) / Servicio por reexpedición de pedimento aceites para motogens para envío a TUX / Rudametkin Distribuidora, S. A. de C. V.</t>
  </si>
  <si>
    <t>SA86754 (624602) / Bengalas para BOAH / Servicios Múltiples del Sureste, S. A. de C. V.</t>
  </si>
  <si>
    <t>SA86731 (624602) / Sensor magnético para tacómetro motogen BOAH / Eliasib Birzayit Mendoza Luna</t>
  </si>
  <si>
    <t>RFF12025 (624602) / Resina impresora 3d tecnomecánica, batería cámara DEO, caja cartón</t>
  </si>
  <si>
    <t>RFF12025 (624602) / Acero PTR y solera, tornillería, tape azul y rodillos, removedor óxido, adhesivo</t>
  </si>
  <si>
    <t>RFF12025 (624602) / Garrafones agua BOAH</t>
  </si>
  <si>
    <t>RFF12025 (624602) / Gasolina para 15-C</t>
  </si>
  <si>
    <t>RFF12025 (624602) / Reparación tanque separador aguas oleosas</t>
  </si>
  <si>
    <t>RFF12025 (624602) / Reparación bombas agua Rigel</t>
  </si>
  <si>
    <t>RFF12025 (624602) / Rellenado tanques aire comprimido equipo SCBA BOAH</t>
  </si>
  <si>
    <t>RFF12025 (624602) / Envío aros salvavidas a BOAH Tuxpan</t>
  </si>
  <si>
    <t>RFF12025 (624602) / Agua en pipa para buque</t>
  </si>
  <si>
    <t>RFF12006 (624602) / Baterías DeWalt para máquinas</t>
  </si>
  <si>
    <t>RFF11969 (624602) / Cerrajería para apertura de puerta DEO</t>
  </si>
  <si>
    <t>RFF11979 (624602) / Materiales para mantenimiento remolque Rigel</t>
  </si>
  <si>
    <t>RFF12006 (624602) / Pipa de agua para BOAH, corte en vinil nombre aros salvavidas</t>
  </si>
  <si>
    <t>RFF12006 (624602) / Materiales para preparativos Noche de las Ciencias</t>
  </si>
  <si>
    <t>RFF12006 (624602) / Material acero para remolque BOAH, caja herramientas, acero</t>
  </si>
  <si>
    <t>RFF12006 (624602) / Pago derechos zarpe y atraque salida Rigel apoyo evento natación</t>
  </si>
  <si>
    <t>OC20230876 (624602) / Vitualla en Tuxpan</t>
  </si>
  <si>
    <t>OC20230675 (624602) / Materiales para mantenimientos máquinas BOAH</t>
  </si>
  <si>
    <t>OC20230641 (624602) / Materiales para mantenimientos en máquinas</t>
  </si>
  <si>
    <t>30-Jun-23</t>
  </si>
  <si>
    <t>OC20230636 (624602) / Maleta documentada adicional Erick Rivera</t>
  </si>
  <si>
    <t>OC20230633 (624602) / Mantenimiento muelles suspensión remolque Rigel</t>
  </si>
  <si>
    <t>OC20230438 / Medicamentos botiquín BOAH</t>
  </si>
  <si>
    <t>11-May-23</t>
  </si>
  <si>
    <t>OC20230438 / Boleto autobús Tuxpan - Coatza ERRL</t>
  </si>
  <si>
    <t>OC20230438 / Ventilador Man Caf</t>
  </si>
  <si>
    <t>SA87008 (624602) / Bomba de agua Volvo Penta para motor Rigel / Agencia Arjona, S. A. de C. V.</t>
  </si>
  <si>
    <t>SA86745 (624602) / 8 aros salvavidas Jim Buoy para BOAH / Agencia Arjona, S. A. de C. V.</t>
  </si>
  <si>
    <t>SA86740 (624602) / 3 chalecos salvavidas para operaciones Rigel / Agencia Arjona, S. A. de C. V.</t>
  </si>
  <si>
    <t>GRC103457 (624602) / Avituallamiento víveres BOAH estancia TUX</t>
  </si>
  <si>
    <t>GRC103401 (624602) / Vitualla en Tuxpan</t>
  </si>
  <si>
    <t>GRC103397 (624602) / Flete de materiales a Tuxpan</t>
  </si>
  <si>
    <t>GRC103397 (624602) / Pagos derechos BOAH Tuxpan crucero agosto 2023 e inspección</t>
  </si>
  <si>
    <t>GRC103397 (624602) / Agenciamiento BOAH Tuxpan</t>
  </si>
  <si>
    <t>GRC103397 (624602) / Materiales para pintado pisos interior BOAH</t>
  </si>
  <si>
    <t>SS65961 (624602) / Repercusión INMARSAT BOAH Noviembre 2023 / Financiera del Bienestar</t>
  </si>
  <si>
    <t>SS65960 (624602) / Repercusión INMARSAT BOAH Octubre 2023 / Financiera del Bienestar</t>
  </si>
  <si>
    <t>SS65959 (624602) / Repercusión INMARSAT BOAH Septiembre 2023 / Financiera del Bienestar</t>
  </si>
  <si>
    <t>SS65958 (624602) / Porcentaje repercusión INMARSAT BOAH Noviembre 2023 / Financiera del Bienestar</t>
  </si>
  <si>
    <t>SS65956 (624602) / Porcentaje repercusión INMARSAT BOAH Octubre 2023 / Financiera del Bienestar</t>
  </si>
  <si>
    <t>SS65955 (624602) / Porcentaje repercusión INMARSAT BOAH Octubre 2023 / Financiera del Bienestar</t>
  </si>
  <si>
    <t>SS65952 (624602) / Estadía en muelle y energía eléctrica BOAH Diciembre 2023 / Compañía Mexicana de Soluciones Onshore, S. de R. L. de C. V.</t>
  </si>
  <si>
    <t>SS65951 (624602) / Estadía en muelle y energía eléctrica BOAH Noviembre 2023 / Compañía Mexicana de Soluciones Onshore, S. de R. L. de C. V.</t>
  </si>
  <si>
    <t>SS65950 (624602) / Estadía en muelle y energía eléctrica BOAH Octubre 2023 / Compañía Mexicana de Soluciones Onshore, S. de R. L. de C. V.</t>
  </si>
  <si>
    <t>SS65929 (624602) / Estadía en muelle y energía eléctrica BOAH, 2 a 14 de julio 2023 / Compañía Mexicana de Soluciones Onshore, S. de R. L. de C. V.</t>
  </si>
  <si>
    <t>SS65922 (624602) / Tripulación outsourcing BOAH noviembre 2023 / Arkadiarium, S. A. de C. V.</t>
  </si>
  <si>
    <t>SS65916 (624602) / Tripulación outsourcing BOAH octubre 2023 / Arkadiarium, S. A. de C. V.</t>
  </si>
  <si>
    <t>SS65650 (624602) / Recolección y disposición final de aceite y trapos BOAH septiembre 2023 / Reco Cero, S. A. de C. V.</t>
  </si>
  <si>
    <t>SS65532 (624602) / Tripulación outsourcing BOAH septiembre 2023 / Arkadiarium, S. A. de C. V.</t>
  </si>
  <si>
    <t>SS65272 (624602) / Elaboración de tablilla desvíos BOAH / José de Jesús Mejía Páramo</t>
  </si>
  <si>
    <t>SS65269 (624602) / Mantenimiento de SART Pathfinder3 BOAH / Eliasib Birzayit Mendoza Luna</t>
  </si>
  <si>
    <t>SS65254 (624602) / Renta de muelle y energía eléctrica BOAH agosto 2023 / Compañía Mexicana de Soluciones Onshore, S. de R. L. de C. V.</t>
  </si>
  <si>
    <t>SS65253 (624602) / Renta de muelle y energía eléctrica BOAH 15 a 31 julio 2023 / Compañía Mexicana de Soluciones Onshore, S. de R. L. de C. V.</t>
  </si>
  <si>
    <t>SS65247 (624602) / Repercusión INMARSAT BOAH Agosto 2023 / Financiera del Bienestar</t>
  </si>
  <si>
    <t>SS65246 (624602) / Porcentaje repercusión INMARSAT BOAH Agosto 2023 / Financiera del Bienestar</t>
  </si>
  <si>
    <t>SS65229 (624602) / Permiso SEDENA transportación bengalas BOAH / Servicios Múltiples del Sureste, S. A. de C. V.</t>
  </si>
  <si>
    <t>20-Sep-23</t>
  </si>
  <si>
    <t>28-Ago-23</t>
  </si>
  <si>
    <t>SV111637 (624108) / Ivan Castro Navarro / Salida Rigel 28ago23</t>
  </si>
  <si>
    <t>SV111639 (624602) / Juan Carlos Leñero Vazquez / Complemento regreso ENS-TUX-ENS agosto</t>
  </si>
  <si>
    <t>24-Ago-23</t>
  </si>
  <si>
    <t>SV111638 (624602) / Juan Carlos Leñero / Complemento boleto avión vuelta SV111520</t>
  </si>
  <si>
    <t>25-Ago-23</t>
  </si>
  <si>
    <t>SV111652 (624602) / Erick Rafael Rivera Lemus / Complemento transporte agosto</t>
  </si>
  <si>
    <t>SV111654 (624602) / Erick Rafael Rivera Lemus / Complemento boleto avión vuelta SV111519</t>
  </si>
  <si>
    <t>29-Ago-23</t>
  </si>
  <si>
    <t>SV111724 (624108) / Marco Antonio Castillo Ramírez / TUX-ENS 01sep23 / Boleto avión</t>
  </si>
  <si>
    <t>SV111724 (624108) / Marco Antonio Castillo Ramírez / TUX-ENS 01sep23 / Viáticos</t>
  </si>
  <si>
    <t>1-Sep-23</t>
  </si>
  <si>
    <t>SV111768 (624108) / Pedro Nuñez Cota / TUX-ENS 01sep23 / Boleto avión</t>
  </si>
  <si>
    <t>SV111768 (624108) / Pedro Nuñez Cota / TUX-ENS 01sep23 / Viáticos</t>
  </si>
  <si>
    <t>SV111770 (624108) / Carlos Enrique Ortiz de los Santos / TUX-ENS 01sep23 / Boleto avión</t>
  </si>
  <si>
    <t>SV111770 (624108) / Carlos Enrique Ortiz de los Santos / TUX-ENS 01sep23 / Viáticos</t>
  </si>
  <si>
    <t>SV111771 (624108) / Rosario Félix Reyes / TUX-ENS 01sep23 / Boleto avión</t>
  </si>
  <si>
    <t>SV111771 (624108) / Rosario Félix Reyes / TUX-ENS 01sep23 / Viáticos</t>
  </si>
  <si>
    <t>SV111772 (624108) / Gustavo Castro Navarro / TUX-ENS 01sep23 / Boleto avión</t>
  </si>
  <si>
    <t>SV111772 (624108) / Gustavo Castro Navarro / TUX-ENS 01sep23 / Viáticos</t>
  </si>
  <si>
    <t>SV111773 (624108) / Julio César Nuñez Zamudio / TUX-ENS 01sep23 / Boleto avión</t>
  </si>
  <si>
    <t>SV111773 (624108) / Julio César Nuñez Zamudio / TUX-ENS 01sep23 / Viáticos</t>
  </si>
  <si>
    <t>4-Sep-23</t>
  </si>
  <si>
    <t>SV111782 (624108) / Juan Carlos Leñero / Salida Rigel 05sep23</t>
  </si>
  <si>
    <t>15-Sep-23</t>
  </si>
  <si>
    <t>SV112035 (624602) / Erick Rafael Rivera Lemus / ENS-TUX-ENS 20-29sep23 / Boleto avión</t>
  </si>
  <si>
    <t>SV112035 (624602) / Erick Rafael Rivera Lemus / ENS-TUX-ENS 20-29sep23 / Viáticos</t>
  </si>
  <si>
    <t>19-Sep-23</t>
  </si>
  <si>
    <t>SV112067 (624602) / Pedro Nuñez Cota / ENS-TUX-ENS 25sep-06oct23 / Boleto avión</t>
  </si>
  <si>
    <t>SV112067 (624602) / Pedro Nuñez Cota / ENS-TUX-ENS 25sep-06oct23 / Viáticos</t>
  </si>
  <si>
    <t>SV112074 (624602) / Carlos Enrique Ortiz de los Santos / ENS-TUX-ENS 25sep-06oct23 / Boleto avión</t>
  </si>
  <si>
    <t>SV112074 (624602) / Carlos Enrique Ortiz de los Santos / ENS-TUX-ENS 25sep-06oct23 / Viáticos</t>
  </si>
  <si>
    <t>SV112085 (624602) / Ernesto Alonso Valenzuela Palacios / ENS-TUX-ENS 25-29sep23 / Boleto avión</t>
  </si>
  <si>
    <t>SV112085 (624602) / Ernesto Alonso Valenzuela Palacios / ENS-TUX-ENS 25-29sep23 / Viáticos</t>
  </si>
  <si>
    <t>SV112075 (624602) / Julio César Nuñez Zamudio / ENS-TUX-ENS 25sep-06oct23 / Boleto avión</t>
  </si>
  <si>
    <t>SV112075 (624602) / Julio César Nuñez Zamudio / ENS-TUX-ENS 25sep-06oct23 / Viáticos</t>
  </si>
  <si>
    <t>25-Sep-23</t>
  </si>
  <si>
    <t>SV112137 (624602) / Gustavo Castro Navarro / ENS-TUX-ENS 25sep-06oct23 / Boleto avión</t>
  </si>
  <si>
    <t>SV112137 (624602) / Gustavo Castro Navarro / ENS-TUX-ENS 25sep-06oct23 / Viáticos</t>
  </si>
  <si>
    <t>26-Sep-23</t>
  </si>
  <si>
    <t>SV112170 (624602) / Juan Carlos Leñero / Salida Rigel 02oct23</t>
  </si>
  <si>
    <t>SV112171 (624602) / Ivan Castro Navarro / Salida Rigel 02oct23</t>
  </si>
  <si>
    <t>5-Oct-23</t>
  </si>
  <si>
    <t>SV112503 (624602) / Erick Rafael Rivera Lemus / ENS-TUX-ENS 8-14 oct23 / Boleto avión</t>
  </si>
  <si>
    <t>SV112503 (624602) / Erick Rafael Rivera Lemus / ENS-TUX-ENS 8-14 oct23 / Viáticos</t>
  </si>
  <si>
    <t>SV112513 (624602) / Ivan Castro Navarro / Salida Rigel 09oct23</t>
  </si>
  <si>
    <t>SV112514 (624602) / Juan Carlos Leñero / Salida Rigel 09oct23</t>
  </si>
  <si>
    <t>6-Oct-23</t>
  </si>
  <si>
    <t>SV112532 (624602) / Juan Carlos Leñero / Salida Rigel 15nov23</t>
  </si>
  <si>
    <t>SV112534 (624602) / Ivan Castro Navarro / Salida Rigel 15nov23</t>
  </si>
  <si>
    <t>SV112536 (624602) / Erick Rafael Rivera Lemus / ENS-TUX-ENS 23-31oct23 / Boleto avión ida</t>
  </si>
  <si>
    <t>SV112536 (624602) / Erick Rafael Rivera Lemus / ENS-TUX-ENS 23-31oct23 / Viáticos</t>
  </si>
  <si>
    <t>SV112607 (624602) / Pedro Nuñez Cota / ENS-TUX-ENS 23oct-10nov23 / Boleto avión ida</t>
  </si>
  <si>
    <t>SV112607 (624602) / Pedro Nuñez Cota / ENS-TUX-ENS 23oct-10nov23 / Viáticos</t>
  </si>
  <si>
    <t>SV112614 (624602) / Marco Antonio Castillo Ramírez / ENS-TUX-ENS 23oct-10nov23 / Boleto avión</t>
  </si>
  <si>
    <t>SV112614 (624602) / Marco Antonio Castillo Ramírez / ENS-TUX-ENS 23oct-10nov23 / Viáticos</t>
  </si>
  <si>
    <t>SV112619 (624602) / Julio César Nuñez Zamudio / ENS-TUX-ENS 23oct-10nov23 / Boleto avión</t>
  </si>
  <si>
    <t>SV112619 (624602) / Julio César Nuñez Zamudio / ENS-TUX-ENS 23oct-10nov23 / Viáticos</t>
  </si>
  <si>
    <t>SV112621 (624602) / Rosario Félix Reyes / ENS-TUX-ENS 23oct-10nov23 / Boleto avión</t>
  </si>
  <si>
    <t>SV112621 (624602) / Rosario Félix Reyes / ENS-TUX-ENS 23oct-10nov23 / Viáticos</t>
  </si>
  <si>
    <t>GRC103472 (624602) / Pago derechos publicación DOF licitación diesel BOAH</t>
  </si>
  <si>
    <t>9-Oct-23</t>
  </si>
  <si>
    <t>SV112783 (624602) / Pedro Nuñez Cota / ENS-TUX-ENS 11-14oct23 / Boleto avión</t>
  </si>
  <si>
    <t>SV112783 (624602) / Pedro Nuñez Cota / ENS-TUX-ENS 11-14oct23 / Viáticos</t>
  </si>
  <si>
    <t>SV112781 (624602) / Gustavo Castro Navarro / ENS-TUX-ENS 11-14oct23 / Boleto avión</t>
  </si>
  <si>
    <t>SV112781 (624602) / Gustavo Castro Navarro / ENS-TUX-ENS 11-14oct23 / Viáticos</t>
  </si>
  <si>
    <t>SV112774 (624602) / Marco Antonio Castillo Ramírez / ENS-TUX-ENS 11-14oct23 / Boleto avión</t>
  </si>
  <si>
    <t>SV112774 (624602) / Marco Antonio Castillo Ramírez / ENS-TUX-ENS 11-14oct23 / Viáticos</t>
  </si>
  <si>
    <t>SV112719 (624602) / Juan Carlos Leñero / Salida Rigel 10nov23</t>
  </si>
  <si>
    <t>SV112718 (624602) / Ivan Castro Navarro / Salida Rigel 10nov23</t>
  </si>
  <si>
    <t>SV112717 (624602) / Ivan Castro Navarro / Salida Rigel 08nov23</t>
  </si>
  <si>
    <t>SV112716 (624602) / Juan Carlos Leñero / Salida Rigel 08nov23</t>
  </si>
  <si>
    <t>SV112715 (624602) / Juan Carlos Leñero / Salida Rigel 06nov23</t>
  </si>
  <si>
    <t>SV112714 (624602) / Ivan Castro Navarro / Salida Rigel 06nov23</t>
  </si>
  <si>
    <t>SV112713 (624602) / Ivan Castro Navarro / Salida Rigel 03nov23</t>
  </si>
  <si>
    <t>SV112712 (624602) / Juan Carlos Leñero / Salida Rigel 03nov23</t>
  </si>
  <si>
    <t>SV112710 (624602) / Juan Carlos Leñero / Salida Rigel 01nov23</t>
  </si>
  <si>
    <t>SV112709 (624602) / Ivan Castro Navarro / Salida Rigel 01nov23</t>
  </si>
  <si>
    <t>SV112708 (624602) / Ivan Castro Navarro / Salida Rigel 30oct23</t>
  </si>
  <si>
    <t>SV112707 (624602) / Juan Carlos Leñero / Salida Rigel 30oct23</t>
  </si>
  <si>
    <t>SV112706 (624602) / Juan Carlos Leñero / Salida Rigel 27oct23</t>
  </si>
  <si>
    <t>SV112705 (624602) / Ivan Castro Navarro / Salida Rigel 27oct23</t>
  </si>
  <si>
    <t>SV112703 (624602) / Juan Carlos Leñero / Salida Rigel 25oct23</t>
  </si>
  <si>
    <t>SV112702 (624602) / Juan Carlos Leñero / Salida Rigel 23oct23</t>
  </si>
  <si>
    <t>SV112700 (624602) / Ivan Castro Navarro / Salida Rigel 25oct23</t>
  </si>
  <si>
    <t>SV112704 (624602) / Ivan Castro Navarro / Salida Rigel 26oct23 (23oct porque Ivan tiene ocupado ese día)</t>
  </si>
  <si>
    <t>SV112699 (624602) / Ivan Castro Navarro / Salida Rigel 19oct23</t>
  </si>
  <si>
    <t>SV112697 (624602) / Juan Carlos Leñero / Salida Rigel 20oct23</t>
  </si>
  <si>
    <t>SV112695 (624602) / Juan Carlos Leñero / Salida Rigel 18oct23</t>
  </si>
  <si>
    <t>SV112694 (624602) / Ivan Castro Navarro / Salida Rigel 18oct23</t>
  </si>
  <si>
    <t>SV112689 (624602) / Juan Carlos Leñero / Salida Rigel 16oct23</t>
  </si>
  <si>
    <t>SV112626 (624602) / Carlos Enrique Ortiz de los Santos / ENS-TUX-ENS 23oct-10nov23 / Boleto avión</t>
  </si>
  <si>
    <t>SV112626 (624602) / Carlos Enrique Ortiz de los Santos / ENS-TUX-ENS 23oct-10nov23 / Viáticos</t>
  </si>
  <si>
    <t>PV1053761 (624602) / Transportación personal DEO TIJ-ENS 14oct23</t>
  </si>
  <si>
    <t>PV1053758 (624602) / Transportación personal DEO ENS-TIJ 11oct23</t>
  </si>
  <si>
    <t>PV1053717 (624602) / Transportación personal DEO TIJ-ENS 10nov23</t>
  </si>
  <si>
    <t>PV1053714 (624602) / Transportación personal DEO TIJ-ENS 31oct23</t>
  </si>
  <si>
    <t>PV1053712 (624602) / Transportación personal DEO ENS-TIJ 23oct23</t>
  </si>
  <si>
    <t>PV1053583 (624602) / Transportación personal DEO TIJ-ENS 06oct23</t>
  </si>
  <si>
    <t>PV1053581 (624602) / Transportación personal DEO TIJ-ENS 29sep23</t>
  </si>
  <si>
    <t>PV1053529 (624602) / Transportación personal DEO ENS-TIJ 25sep23</t>
  </si>
  <si>
    <t>PV1053528 (624602) / Transportación personal DEO ENS-TIJ 20sep23</t>
  </si>
  <si>
    <t>PV1053408 (624108) / Transportación personal DEO TIJ-ENS 01sep23</t>
  </si>
  <si>
    <t>PV1053374 (624108) / Transportación personal DEO TIJ-ENS 25ago23</t>
  </si>
  <si>
    <t>PV1053346 (624602) / Transportación personal DEO ENS-TIJ 16ago23</t>
  </si>
  <si>
    <t>PV1053280 (624602) / Transportación personal DEO TIJ-ENS 14jul23</t>
  </si>
  <si>
    <t>PV1053187 (624602) / Transportación personal DEO ENS-TIJ 20jun23</t>
  </si>
  <si>
    <t>PV1053186 (624602) / Transportación personal DEO ENS-TIJ 19jun23</t>
  </si>
  <si>
    <t>TP83626 (624108) / Pago Telcel DEO Septiembre 2023</t>
  </si>
  <si>
    <t>TP82818 (624108) / Pago Telcel DEO Agosto 2023</t>
  </si>
  <si>
    <t>TP82282 (624108) / Pago Telcel DEO Julio 2023</t>
  </si>
  <si>
    <t>TP81669 (624108) / Pago Telcel DEO Junio 2023</t>
  </si>
  <si>
    <t>TP81066 (624108) / Pago Telcel DEO Mayo 2023</t>
  </si>
  <si>
    <t>RFF12060 (624602) / Gasolina Rigel</t>
  </si>
  <si>
    <t>RFF12060 (624602) / Materiales mantenimiento remolque Rigel</t>
  </si>
  <si>
    <t>RFF12060 (624602) / Materiales para viaje a BLA Dra. Elena Solana</t>
  </si>
  <si>
    <t>RFF12060 (624602) / Materiales limpieza BOAH</t>
  </si>
  <si>
    <t>RFF12060 (624602) / Gasolina para 15-C</t>
  </si>
  <si>
    <t>RFF12060 (624602) / Derechos por revisión pliego observaciones Rigel</t>
  </si>
  <si>
    <t>RFF12060 (624602) / Válvula reguladora refri verduras BOAH, Spud mingitorio</t>
  </si>
  <si>
    <t>SA87447 (624602) / Bomba de alta presión CAT para desaladora BOAH / Eliasib Birzayit Mendoza Luna</t>
  </si>
  <si>
    <t>GRC103641 (624602) / Lavado ropa cama BOAH Oct23</t>
  </si>
  <si>
    <t>GRC103641 (624602) / Cambio válvula evaporador refri verduras BOAH</t>
  </si>
  <si>
    <t>14-Sep-23</t>
  </si>
  <si>
    <t>OC20230964 (624602) / Reembolso viáticos ICN salida Rigel 05sep23</t>
  </si>
  <si>
    <t>OC20230989 (624602) / Envío de material de seguridad del BOAH a Tuxpan</t>
  </si>
  <si>
    <t>OC20230990 (624602) / Pago impuestos aduana equipo seguridad BOAH para envío a Tuxpan</t>
  </si>
  <si>
    <t>31-Oct-23</t>
  </si>
  <si>
    <t>SV112975 (624602) / Gustavo Castro Navarro / ENS-TUX-ENS 23oct-10nov23 / Boleto avión</t>
  </si>
  <si>
    <t>SV112975 (624602) / Gustavo Castro Navarro / ENS-TUX-ENS 23oct-10nov23 / Viáticos</t>
  </si>
  <si>
    <t>18-Oct-23</t>
  </si>
  <si>
    <t>SS65949 (624602) / Estadía en muelle y energía eléctrica BOAH Septiembre 2023 / Compañía Mexicana de Soluciones Onshore, S. de R. L. de C. V.</t>
  </si>
  <si>
    <t>SS65925 (624602) / Tripulación outsourcing BOAH diciembre 2023 / Arkadiarium, S. A. de C. V.</t>
  </si>
  <si>
    <t>SS65701 (624602) / Mantenimiento anual 2023 de balsas, extintores y sistemas fijos contra incendio BOAH / Servicios Múltiples del Sureste, S. A. de C. V.</t>
  </si>
  <si>
    <t>BOLSA 2023 FISCAL</t>
  </si>
  <si>
    <t>RFF12092 (624602) / Tornillería, niples, tanque de gas, watta, tubería y focos LED</t>
  </si>
  <si>
    <t>RFF12092 (624602) / Bolsas para basura</t>
  </si>
  <si>
    <t>RFF12092 (624602) / Materiales mantto Genus apoyo Ivan a SEBLA</t>
  </si>
  <si>
    <t>GRC103604 (624602) / Avituallamiento víveres BOAH estancia TUX oct23</t>
  </si>
  <si>
    <t>RFF12091 (624602) / Hojas neopreno, cemento gris, espuma, tubos PVC</t>
  </si>
  <si>
    <t>RFF12091 (624602) / Materiales limpieza cocina, vasos desechables</t>
  </si>
  <si>
    <t>RFF12091 (624602) / Reparación fuga AC BOAH</t>
  </si>
  <si>
    <t>RFF12091 (624602) / Alfombra</t>
  </si>
  <si>
    <t>RFF12091 (624602) / Felpas y coladores pintura</t>
  </si>
  <si>
    <t>RFF12091 (624602) / Envío de refacciones a Tuxpan</t>
  </si>
  <si>
    <t>RFF12091 (624602) / Recolección basura BOAH, renta mobiliario noche ciencias, suministro pipa agua BOAH</t>
  </si>
  <si>
    <t>RFF12091 (624602) / Suministro de garrafones de agua BOAH</t>
  </si>
  <si>
    <t>10-Nov-23</t>
  </si>
  <si>
    <t>SV113003 (624602) / Marco Antonio Castillo Ramírez / ENS-TUX-ENS 21nov-07dic23 / Boleto avión</t>
  </si>
  <si>
    <t>SV113003 (624602) / Marco Antonio Castillo Ramírez / ENS-TUX-ENS 21nov-07dic23 / Viáticos</t>
  </si>
  <si>
    <t>SV113002 (624602) / Julio César Nuñez Zamudio / ENS-TUX-ENS 21nov-08dic23 / Boleto avión</t>
  </si>
  <si>
    <t>SV113002 (624602) / Julio César Nuñez Zamudio / ENS-TUX-ENS 21nov-08dic23 / Viáticos</t>
  </si>
  <si>
    <t>SV113001 (624602) / Gustavo Castro Navarro / ENS-TUX-ENS 21nov-08dic23 / Boleto avión</t>
  </si>
  <si>
    <t>SV113001 (624602) / Gustavo Castro Navarro / ENS-TUX-ENS 21nov-08dic23 / Viáticos</t>
  </si>
  <si>
    <t>SV113000 (624602) / Pedro Nuñez Cota / ENS-TUX-ENS 21nov-08dic23 / Boleto avión</t>
  </si>
  <si>
    <t>SV113000 (624602) / Pedro Nuñez Cota / ENS-TUX-ENS 21nov-08dic23 / Viáticos</t>
  </si>
  <si>
    <t>SV112999 (624602) / Carlos Enrique Ortiz de los Santos / ENS-TUX-TEP 21nov-08dic23 / Boleto avión</t>
  </si>
  <si>
    <t>SV112999 (624602) / Carlos Enrique Ortiz de los Santos / ENS-TUX-TEP 21nov-08dic23 / Viáticos</t>
  </si>
  <si>
    <t>SV112998 (624602) / Ernesto Alonso Valenzuela Palacios / ENS-TUX-ENS 21-26nov23 / Boleto avión</t>
  </si>
  <si>
    <t>SV112998 (624602) / Ernesto Alonso Valenzuela Palacios / ENS-TUX-ENS 21-26nov23 / Viáticos</t>
  </si>
  <si>
    <t>SV112693 (624602) / Ivan Castro Navarro / Salida Rigel 16oct23 / Devolución por no tener facturas</t>
  </si>
  <si>
    <t>SA87605 (624602) / XX,000 litros de diésel BOAH dic23 / Distribuidora de diésel Río Pánuco, S. A. de C. V.</t>
  </si>
  <si>
    <t>SS65779 (624602) / "Refaccionamiento" de extintores BOAH / Servicios Múltiples del Sureste, S. A. de C. V.</t>
  </si>
  <si>
    <t>SS65725 (624602) / Reparación de marco A popa y grúa BOAH / Ruvaships, S. A. de C. V.</t>
  </si>
  <si>
    <t>SS65715 (624602) / Internet satelital Starlink para crucero Canek Nov23 / Eliasib Birzayit Mendoza 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</si>
</sst>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[$-409]d\-mmm\-yy;@"/>
  </numFmts>
  <fonts count="6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1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164" fontId="0" fillId="0" borderId="0" xfId="0" applyNumberFormat="1" applyFill="1"/>
    <xf numFmtId="14" fontId="0" fillId="0" borderId="0" xfId="0" applyNumberFormat="1" applyAlignment="1">
      <alignment horizontal="right"/>
    </xf>
    <xf numFmtId="0" fontId="3" fillId="0" borderId="0" xfId="0" applyFont="1" applyAlignment="1"/>
    <xf numFmtId="0" fontId="3" fillId="0" borderId="0" xfId="0" applyFont="1"/>
    <xf numFmtId="0" fontId="0" fillId="2" borderId="0" xfId="0" applyFill="1"/>
    <xf numFmtId="0" fontId="0" fillId="2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/>
    <xf numFmtId="0" fontId="0" fillId="0" borderId="4" xfId="0" applyBorder="1" applyAlignment="1">
      <alignment horizontal="right"/>
    </xf>
    <xf numFmtId="0" fontId="0" fillId="0" borderId="5" xfId="0" applyBorder="1"/>
    <xf numFmtId="164" fontId="0" fillId="0" borderId="6" xfId="0" applyNumberFormat="1" applyFill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5" xfId="0" applyFont="1" applyBorder="1"/>
    <xf numFmtId="14" fontId="0" fillId="0" borderId="4" xfId="0" applyNumberFormat="1" applyBorder="1" applyAlignment="1">
      <alignment horizontal="right"/>
    </xf>
    <xf numFmtId="164" fontId="3" fillId="0" borderId="9" xfId="0" applyNumberFormat="1" applyFont="1" applyBorder="1" applyAlignment="1"/>
    <xf numFmtId="0" fontId="0" fillId="0" borderId="0" xfId="0" applyBorder="1" applyAlignment="1">
      <alignment horizontal="right"/>
    </xf>
    <xf numFmtId="49" fontId="0" fillId="0" borderId="0" xfId="0" applyNumberFormat="1"/>
    <xf numFmtId="49" fontId="0" fillId="0" borderId="1" xfId="0" applyNumberFormat="1" applyBorder="1" applyAlignment="1">
      <alignment horizontal="right"/>
    </xf>
    <xf numFmtId="49" fontId="0" fillId="0" borderId="4" xfId="0" applyNumberFormat="1" applyBorder="1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 applyBorder="1" applyAlignment="1">
      <alignment horizontal="right"/>
    </xf>
    <xf numFmtId="49" fontId="0" fillId="0" borderId="8" xfId="0" applyNumberFormat="1" applyBorder="1" applyAlignment="1">
      <alignment horizontal="right"/>
    </xf>
    <xf numFmtId="49" fontId="0" fillId="2" borderId="0" xfId="0" applyNumberFormat="1" applyFill="1" applyAlignment="1">
      <alignment horizontal="right"/>
    </xf>
    <xf numFmtId="164" fontId="0" fillId="0" borderId="0" xfId="0" applyNumberFormat="1" applyFill="1" applyBorder="1"/>
    <xf numFmtId="164" fontId="0" fillId="3" borderId="10" xfId="0" applyNumberFormat="1" applyFill="1" applyBorder="1"/>
    <xf numFmtId="164" fontId="0" fillId="0" borderId="10" xfId="0" applyNumberFormat="1" applyBorder="1"/>
    <xf numFmtId="0" fontId="0" fillId="0" borderId="11" xfId="0" applyBorder="1"/>
    <xf numFmtId="164" fontId="0" fillId="0" borderId="12" xfId="0" applyNumberFormat="1" applyBorder="1"/>
    <xf numFmtId="0" fontId="0" fillId="0" borderId="13" xfId="0" applyBorder="1"/>
    <xf numFmtId="164" fontId="0" fillId="0" borderId="14" xfId="0" applyNumberFormat="1" applyBorder="1"/>
    <xf numFmtId="164" fontId="0" fillId="0" borderId="15" xfId="0" applyNumberFormat="1" applyBorder="1"/>
    <xf numFmtId="164" fontId="0" fillId="3" borderId="16" xfId="0" applyNumberFormat="1" applyFill="1" applyBorder="1"/>
    <xf numFmtId="0" fontId="0" fillId="0" borderId="17" xfId="0" applyBorder="1"/>
    <xf numFmtId="0" fontId="0" fillId="0" borderId="18" xfId="0" applyBorder="1"/>
    <xf numFmtId="164" fontId="3" fillId="0" borderId="16" xfId="0" applyNumberFormat="1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0" fillId="0" borderId="8" xfId="0" applyBorder="1"/>
    <xf numFmtId="164" fontId="0" fillId="0" borderId="7" xfId="0" applyNumberFormat="1" applyBorder="1"/>
    <xf numFmtId="0" fontId="0" fillId="2" borderId="20" xfId="0" applyFill="1" applyBorder="1"/>
    <xf numFmtId="164" fontId="0" fillId="2" borderId="21" xfId="0" applyNumberFormat="1" applyFill="1" applyBorder="1"/>
    <xf numFmtId="164" fontId="0" fillId="2" borderId="0" xfId="0" applyNumberFormat="1" applyFill="1" applyBorder="1"/>
    <xf numFmtId="0" fontId="0" fillId="2" borderId="22" xfId="0" applyFill="1" applyBorder="1"/>
    <xf numFmtId="0" fontId="3" fillId="3" borderId="11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164" fontId="3" fillId="0" borderId="9" xfId="0" applyNumberFormat="1" applyFont="1" applyBorder="1"/>
    <xf numFmtId="164" fontId="3" fillId="0" borderId="19" xfId="0" applyNumberFormat="1" applyFont="1" applyBorder="1"/>
    <xf numFmtId="164" fontId="3" fillId="0" borderId="12" xfId="0" applyNumberFormat="1" applyFont="1" applyBorder="1"/>
    <xf numFmtId="0" fontId="0" fillId="2" borderId="23" xfId="0" applyFill="1" applyBorder="1"/>
    <xf numFmtId="0" fontId="0" fillId="2" borderId="24" xfId="0" applyFill="1" applyBorder="1"/>
    <xf numFmtId="164" fontId="0" fillId="0" borderId="12" xfId="0" applyNumberFormat="1" applyFill="1" applyBorder="1"/>
    <xf numFmtId="0" fontId="3" fillId="2" borderId="23" xfId="0" applyFont="1" applyFill="1" applyBorder="1" applyAlignment="1">
      <alignment horizontal="center"/>
    </xf>
    <xf numFmtId="0" fontId="2" fillId="0" borderId="0" xfId="0" applyFont="1" applyFill="1" applyBorder="1"/>
    <xf numFmtId="0" fontId="2" fillId="0" borderId="5" xfId="0" applyFont="1" applyFill="1" applyBorder="1"/>
    <xf numFmtId="15" fontId="0" fillId="0" borderId="4" xfId="0" applyNumberFormat="1" applyBorder="1" applyAlignment="1">
      <alignment horizontal="right"/>
    </xf>
    <xf numFmtId="0" fontId="3" fillId="0" borderId="0" xfId="0" applyFont="1" applyFill="1" applyBorder="1"/>
    <xf numFmtId="0" fontId="3" fillId="0" borderId="5" xfId="0" applyFont="1" applyFill="1" applyBorder="1"/>
    <xf numFmtId="0" fontId="0" fillId="0" borderId="0" xfId="0" applyFill="1"/>
    <xf numFmtId="0" fontId="0" fillId="0" borderId="7" xfId="0" applyBorder="1"/>
    <xf numFmtId="164" fontId="0" fillId="0" borderId="9" xfId="0" applyNumberFormat="1" applyBorder="1"/>
    <xf numFmtId="164" fontId="0" fillId="0" borderId="10" xfId="0" applyNumberFormat="1" applyFill="1" applyBorder="1"/>
    <xf numFmtId="0" fontId="2" fillId="0" borderId="11" xfId="0" applyFont="1" applyFill="1" applyBorder="1" applyAlignment="1">
      <alignment horizontal="left"/>
    </xf>
    <xf numFmtId="0" fontId="0" fillId="0" borderId="25" xfId="0" applyBorder="1"/>
    <xf numFmtId="164" fontId="0" fillId="0" borderId="26" xfId="0" applyNumberFormat="1" applyBorder="1"/>
    <xf numFmtId="164" fontId="2" fillId="0" borderId="24" xfId="0" applyNumberFormat="1" applyFont="1" applyFill="1" applyBorder="1"/>
    <xf numFmtId="15" fontId="0" fillId="0" borderId="23" xfId="0" applyNumberFormat="1" applyBorder="1" applyAlignment="1">
      <alignment horizontal="right"/>
    </xf>
    <xf numFmtId="164" fontId="0" fillId="0" borderId="24" xfId="0" applyNumberFormat="1" applyFill="1" applyBorder="1"/>
    <xf numFmtId="0" fontId="0" fillId="0" borderId="0" xfId="0" applyFill="1" applyBorder="1"/>
    <xf numFmtId="49" fontId="0" fillId="0" borderId="23" xfId="0" applyNumberFormat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164" fontId="0" fillId="0" borderId="3" xfId="0" applyNumberFormat="1" applyFill="1" applyBorder="1"/>
    <xf numFmtId="164" fontId="0" fillId="0" borderId="6" xfId="0" applyNumberFormat="1" applyBorder="1"/>
    <xf numFmtId="0" fontId="2" fillId="0" borderId="2" xfId="0" applyFont="1" applyFill="1" applyBorder="1" applyAlignment="1">
      <alignment horizontal="left"/>
    </xf>
    <xf numFmtId="0" fontId="0" fillId="0" borderId="0" xfId="0" applyFont="1" applyFill="1" applyBorder="1"/>
    <xf numFmtId="15" fontId="0" fillId="0" borderId="23" xfId="0" applyNumberFormat="1" applyFill="1" applyBorder="1" applyAlignment="1">
      <alignment horizontal="right"/>
    </xf>
    <xf numFmtId="15" fontId="2" fillId="0" borderId="23" xfId="0" applyNumberFormat="1" applyFont="1" applyFill="1" applyBorder="1" applyAlignment="1">
      <alignment horizontal="right"/>
    </xf>
    <xf numFmtId="164" fontId="0" fillId="0" borderId="24" xfId="0" applyNumberFormat="1" applyBorder="1"/>
    <xf numFmtId="0" fontId="0" fillId="0" borderId="23" xfId="0" applyBorder="1" applyAlignment="1">
      <alignment horizontal="right"/>
    </xf>
    <xf numFmtId="164" fontId="2" fillId="0" borderId="6" xfId="0" applyNumberFormat="1" applyFont="1" applyFill="1" applyBorder="1"/>
    <xf numFmtId="15" fontId="2" fillId="0" borderId="23" xfId="0" applyNumberFormat="1" applyFont="1" applyBorder="1" applyAlignment="1">
      <alignment horizontal="right"/>
    </xf>
    <xf numFmtId="0" fontId="2" fillId="0" borderId="0" xfId="0" applyFont="1" applyFill="1" applyBorder="1" applyAlignment="1">
      <alignment horizontal="left"/>
    </xf>
    <xf numFmtId="164" fontId="2" fillId="0" borderId="24" xfId="0" applyNumberFormat="1" applyFont="1" applyFill="1" applyBorder="1" applyAlignment="1">
      <alignment horizontal="right"/>
    </xf>
    <xf numFmtId="15" fontId="0" fillId="0" borderId="1" xfId="0" applyNumberFormat="1" applyBorder="1" applyAlignment="1">
      <alignment horizontal="right"/>
    </xf>
    <xf numFmtId="15" fontId="2" fillId="0" borderId="4" xfId="0" applyNumberFormat="1" applyFont="1" applyBorder="1" applyAlignment="1">
      <alignment horizontal="right"/>
    </xf>
    <xf numFmtId="0" fontId="3" fillId="0" borderId="0" xfId="0" applyFont="1" applyAlignment="1">
      <alignment horizontal="center"/>
    </xf>
    <xf numFmtId="15" fontId="0" fillId="0" borderId="0" xfId="0" applyNumberFormat="1" applyAlignment="1">
      <alignment horizontal="center"/>
    </xf>
    <xf numFmtId="0" fontId="4" fillId="0" borderId="0" xfId="0" applyFont="1"/>
    <xf numFmtId="4" fontId="0" fillId="0" borderId="0" xfId="0" applyNumberFormat="1" applyAlignment="1">
      <alignment horizontal="center"/>
    </xf>
    <xf numFmtId="4" fontId="0" fillId="0" borderId="0" xfId="0" applyNumberFormat="1"/>
    <xf numFmtId="0" fontId="2" fillId="0" borderId="23" xfId="0" applyFont="1" applyBorder="1" applyAlignment="1">
      <alignment horizontal="right"/>
    </xf>
    <xf numFmtId="165" fontId="0" fillId="0" borderId="4" xfId="0" applyNumberFormat="1" applyBorder="1" applyAlignment="1">
      <alignment horizontal="right"/>
    </xf>
    <xf numFmtId="49" fontId="2" fillId="0" borderId="23" xfId="0" applyNumberFormat="1" applyFont="1" applyBorder="1" applyAlignment="1">
      <alignment horizontal="right"/>
    </xf>
    <xf numFmtId="15" fontId="0" fillId="0" borderId="4" xfId="0" applyNumberFormat="1" applyFill="1" applyBorder="1" applyAlignment="1">
      <alignment horizontal="right"/>
    </xf>
    <xf numFmtId="0" fontId="0" fillId="0" borderId="5" xfId="0" applyFill="1" applyBorder="1"/>
    <xf numFmtId="15" fontId="2" fillId="0" borderId="0" xfId="0" applyNumberFormat="1" applyFont="1" applyAlignment="1">
      <alignment horizontal="center"/>
    </xf>
    <xf numFmtId="15" fontId="0" fillId="0" borderId="0" xfId="0" applyNumberFormat="1" applyFont="1" applyAlignment="1">
      <alignment horizontal="center"/>
    </xf>
    <xf numFmtId="49" fontId="0" fillId="0" borderId="23" xfId="0" applyNumberFormat="1" applyFill="1" applyBorder="1" applyAlignment="1">
      <alignment horizontal="right"/>
    </xf>
    <xf numFmtId="49" fontId="2" fillId="0" borderId="23" xfId="0" applyNumberFormat="1" applyFont="1" applyFill="1" applyBorder="1" applyAlignment="1">
      <alignment horizontal="right"/>
    </xf>
    <xf numFmtId="14" fontId="2" fillId="0" borderId="4" xfId="0" applyNumberFormat="1" applyFont="1" applyBorder="1" applyAlignment="1">
      <alignment horizontal="right"/>
    </xf>
    <xf numFmtId="0" fontId="2" fillId="0" borderId="5" xfId="0" applyFont="1" applyBorder="1" applyAlignment="1">
      <alignment horizontal="left"/>
    </xf>
    <xf numFmtId="49" fontId="2" fillId="0" borderId="4" xfId="0" applyNumberFormat="1" applyFont="1" applyBorder="1" applyAlignment="1">
      <alignment horizontal="right"/>
    </xf>
    <xf numFmtId="0" fontId="2" fillId="0" borderId="0" xfId="0" applyFont="1" applyBorder="1"/>
    <xf numFmtId="15" fontId="0" fillId="0" borderId="0" xfId="0" applyNumberFormat="1" applyBorder="1" applyAlignment="1">
      <alignment horizontal="right"/>
    </xf>
    <xf numFmtId="0" fontId="2" fillId="0" borderId="4" xfId="0" applyFont="1" applyBorder="1" applyAlignment="1">
      <alignment horizontal="right"/>
    </xf>
    <xf numFmtId="164" fontId="5" fillId="0" borderId="24" xfId="0" applyNumberFormat="1" applyFont="1" applyFill="1" applyBorder="1"/>
    <xf numFmtId="0" fontId="5" fillId="0" borderId="0" xfId="0" applyFont="1" applyFill="1" applyBorder="1"/>
    <xf numFmtId="0" fontId="0" fillId="0" borderId="0" xfId="0" applyAlignment="1">
      <alignment horizontal="center"/>
    </xf>
    <xf numFmtId="0" fontId="3" fillId="4" borderId="2" xfId="0" applyFont="1" applyFill="1" applyBorder="1"/>
    <xf numFmtId="164" fontId="0" fillId="4" borderId="3" xfId="0" applyNumberFormat="1" applyFill="1" applyBorder="1"/>
    <xf numFmtId="0" fontId="0" fillId="5" borderId="8" xfId="0" applyFill="1" applyBorder="1" applyAlignment="1">
      <alignment horizontal="right"/>
    </xf>
    <xf numFmtId="0" fontId="3" fillId="5" borderId="7" xfId="0" applyFont="1" applyFill="1" applyBorder="1" applyAlignment="1">
      <alignment horizontal="center"/>
    </xf>
    <xf numFmtId="164" fontId="0" fillId="5" borderId="9" xfId="0" applyNumberFormat="1" applyFill="1" applyBorder="1"/>
    <xf numFmtId="49" fontId="0" fillId="5" borderId="8" xfId="0" applyNumberFormat="1" applyFill="1" applyBorder="1" applyAlignment="1">
      <alignment horizontal="right"/>
    </xf>
    <xf numFmtId="49" fontId="0" fillId="5" borderId="1" xfId="0" applyNumberFormat="1" applyFill="1" applyBorder="1" applyAlignment="1">
      <alignment horizontal="right"/>
    </xf>
    <xf numFmtId="0" fontId="3" fillId="5" borderId="2" xfId="0" applyFont="1" applyFill="1" applyBorder="1" applyAlignment="1">
      <alignment horizontal="center"/>
    </xf>
    <xf numFmtId="164" fontId="0" fillId="5" borderId="3" xfId="0" applyNumberFormat="1" applyFill="1" applyBorder="1"/>
    <xf numFmtId="15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49" fontId="0" fillId="0" borderId="23" xfId="0" applyNumberFormat="1" applyBorder="1"/>
    <xf numFmtId="0" fontId="0" fillId="0" borderId="24" xfId="0" applyBorder="1"/>
    <xf numFmtId="15" fontId="2" fillId="0" borderId="0" xfId="0" applyNumberFormat="1" applyFont="1" applyAlignment="1">
      <alignment horizontal="right"/>
    </xf>
    <xf numFmtId="0" fontId="0" fillId="0" borderId="2" xfId="0" applyBorder="1"/>
    <xf numFmtId="164" fontId="0" fillId="0" borderId="3" xfId="0" applyNumberFormat="1" applyBorder="1"/>
    <xf numFmtId="49" fontId="2" fillId="0" borderId="8" xfId="0" applyNumberFormat="1" applyFont="1" applyBorder="1" applyAlignment="1">
      <alignment horizontal="right"/>
    </xf>
    <xf numFmtId="0" fontId="2" fillId="0" borderId="7" xfId="0" applyFont="1" applyBorder="1"/>
    <xf numFmtId="49" fontId="0" fillId="0" borderId="29" xfId="0" applyNumberFormat="1" applyFill="1" applyBorder="1" applyAlignment="1">
      <alignment horizontal="right"/>
    </xf>
    <xf numFmtId="164" fontId="0" fillId="0" borderId="31" xfId="0" applyNumberFormat="1" applyFill="1" applyBorder="1"/>
    <xf numFmtId="49" fontId="0" fillId="0" borderId="32" xfId="0" applyNumberFormat="1" applyBorder="1" applyAlignment="1">
      <alignment horizontal="right"/>
    </xf>
    <xf numFmtId="0" fontId="0" fillId="0" borderId="33" xfId="0" applyBorder="1"/>
    <xf numFmtId="164" fontId="0" fillId="0" borderId="34" xfId="0" applyNumberFormat="1" applyBorder="1"/>
    <xf numFmtId="0" fontId="2" fillId="0" borderId="30" xfId="0" applyFont="1" applyFill="1" applyBorder="1" applyAlignment="1">
      <alignment horizontal="left"/>
    </xf>
    <xf numFmtId="164" fontId="0" fillId="0" borderId="36" xfId="0" applyNumberFormat="1" applyFill="1" applyBorder="1"/>
    <xf numFmtId="49" fontId="2" fillId="0" borderId="35" xfId="0" applyNumberFormat="1" applyFont="1" applyFill="1" applyBorder="1" applyAlignment="1">
      <alignment horizontal="right"/>
    </xf>
    <xf numFmtId="4" fontId="2" fillId="0" borderId="0" xfId="0" applyNumberFormat="1" applyFont="1" applyAlignment="1">
      <alignment horizontal="right"/>
    </xf>
    <xf numFmtId="49" fontId="0" fillId="0" borderId="0" xfId="0" applyNumberFormat="1" applyAlignment="1">
      <alignment horizontal="center"/>
    </xf>
    <xf numFmtId="49" fontId="2" fillId="0" borderId="0" xfId="0" applyNumberFormat="1" applyFont="1" applyAlignment="1">
      <alignment horizontal="center"/>
    </xf>
    <xf numFmtId="15" fontId="3" fillId="0" borderId="0" xfId="0" applyNumberFormat="1" applyFont="1" applyAlignment="1">
      <alignment horizontal="center"/>
    </xf>
    <xf numFmtId="15" fontId="0" fillId="0" borderId="0" xfId="0" applyNumberFormat="1" applyBorder="1" applyAlignment="1">
      <alignment horizontal="left"/>
    </xf>
    <xf numFmtId="0" fontId="2" fillId="0" borderId="6" xfId="0" applyFont="1" applyFill="1" applyBorder="1"/>
    <xf numFmtId="0" fontId="2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0" fontId="4" fillId="0" borderId="0" xfId="0" applyFont="1" applyFill="1" applyBorder="1"/>
    <xf numFmtId="49" fontId="3" fillId="0" borderId="8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165"/>
  <sheetViews>
    <sheetView workbookViewId="0">
      <selection activeCell="B119" sqref="B119"/>
    </sheetView>
  </sheetViews>
  <sheetFormatPr defaultRowHeight="12.75" x14ac:dyDescent="0.2"/>
  <cols>
    <col min="1" max="1" width="10.140625" bestFit="1" customWidth="1"/>
    <col min="2" max="2" width="84.28515625" customWidth="1"/>
    <col min="3" max="3" width="18.42578125" customWidth="1"/>
    <col min="7" max="7" width="10.140625" bestFit="1" customWidth="1"/>
  </cols>
  <sheetData>
    <row r="1" spans="1:7" ht="13.5" thickBot="1" x14ac:dyDescent="0.25"/>
    <row r="2" spans="1:7" ht="13.5" thickBot="1" x14ac:dyDescent="0.25">
      <c r="A2" s="147" t="s">
        <v>63</v>
      </c>
      <c r="B2" s="148"/>
      <c r="C2" s="20">
        <f>C4+C68</f>
        <v>86444.12</v>
      </c>
      <c r="D2" s="6"/>
      <c r="E2" s="6"/>
      <c r="F2" s="6"/>
    </row>
    <row r="3" spans="1:7" ht="13.5" thickBot="1" x14ac:dyDescent="0.25">
      <c r="A3" s="16" t="s">
        <v>20</v>
      </c>
      <c r="B3" s="15" t="s">
        <v>21</v>
      </c>
      <c r="C3" s="17" t="s">
        <v>22</v>
      </c>
    </row>
    <row r="4" spans="1:7" ht="13.5" thickBot="1" x14ac:dyDescent="0.25">
      <c r="A4" s="114"/>
      <c r="B4" s="115" t="s">
        <v>23</v>
      </c>
      <c r="C4" s="116">
        <f>C5+C8+C11+C15+C20+C29+C34+C39+C44+C49+C52+C58+C61</f>
        <v>0</v>
      </c>
    </row>
    <row r="5" spans="1:7" x14ac:dyDescent="0.2">
      <c r="A5" s="10"/>
      <c r="B5" s="112" t="s">
        <v>36</v>
      </c>
      <c r="C5" s="113">
        <f>SUM(C6:C6)</f>
        <v>0</v>
      </c>
      <c r="G5" s="1"/>
    </row>
    <row r="6" spans="1:7" ht="13.5" thickBot="1" x14ac:dyDescent="0.25">
      <c r="A6" s="59"/>
      <c r="B6" s="13"/>
      <c r="C6" s="14"/>
      <c r="D6" s="1"/>
      <c r="E6" s="1"/>
    </row>
    <row r="7" spans="1:7" ht="13.5" thickBot="1" x14ac:dyDescent="0.25">
      <c r="A7" s="21"/>
      <c r="B7" s="11"/>
      <c r="C7" s="29"/>
      <c r="D7" s="1"/>
      <c r="E7" s="1"/>
    </row>
    <row r="8" spans="1:7" x14ac:dyDescent="0.2">
      <c r="A8" s="10"/>
      <c r="B8" s="112" t="s">
        <v>47</v>
      </c>
      <c r="C8" s="113">
        <f>SUM(C9)</f>
        <v>0</v>
      </c>
      <c r="D8" s="1"/>
      <c r="E8" s="1"/>
    </row>
    <row r="9" spans="1:7" ht="13.5" thickBot="1" x14ac:dyDescent="0.25">
      <c r="A9" s="88"/>
      <c r="B9" s="18"/>
      <c r="C9" s="14"/>
      <c r="D9" s="1"/>
      <c r="E9" s="1"/>
    </row>
    <row r="10" spans="1:7" ht="13.5" thickBot="1" x14ac:dyDescent="0.25">
      <c r="A10" s="107"/>
      <c r="B10" s="11"/>
      <c r="C10" s="29"/>
      <c r="D10" s="1"/>
      <c r="E10" s="1"/>
    </row>
    <row r="11" spans="1:7" x14ac:dyDescent="0.2">
      <c r="A11" s="10"/>
      <c r="B11" s="112" t="s">
        <v>48</v>
      </c>
      <c r="C11" s="113">
        <f>SUM(C12:C13)</f>
        <v>0</v>
      </c>
      <c r="D11" s="1"/>
      <c r="E11" s="1"/>
    </row>
    <row r="12" spans="1:7" x14ac:dyDescent="0.2">
      <c r="A12" s="82"/>
      <c r="B12" s="78"/>
      <c r="C12" s="71"/>
      <c r="D12" s="1"/>
      <c r="E12" s="1"/>
    </row>
    <row r="13" spans="1:7" ht="13.5" thickBot="1" x14ac:dyDescent="0.25">
      <c r="A13" s="88"/>
      <c r="B13" s="18"/>
      <c r="C13" s="14"/>
      <c r="D13" s="1"/>
      <c r="E13" s="1"/>
    </row>
    <row r="14" spans="1:7" ht="13.5" thickBot="1" x14ac:dyDescent="0.25">
      <c r="A14" s="2"/>
      <c r="C14" s="4"/>
      <c r="D14" s="1"/>
      <c r="E14" s="1"/>
    </row>
    <row r="15" spans="1:7" x14ac:dyDescent="0.2">
      <c r="A15" s="10"/>
      <c r="B15" s="112" t="s">
        <v>24</v>
      </c>
      <c r="C15" s="113">
        <f>SUM(C16:C18)</f>
        <v>0</v>
      </c>
    </row>
    <row r="16" spans="1:7" x14ac:dyDescent="0.2">
      <c r="A16" s="94"/>
      <c r="B16" s="57"/>
      <c r="C16" s="71"/>
    </row>
    <row r="17" spans="1:5" x14ac:dyDescent="0.2">
      <c r="A17" s="94"/>
      <c r="B17" s="57"/>
      <c r="C17" s="71"/>
    </row>
    <row r="18" spans="1:5" ht="13.5" thickBot="1" x14ac:dyDescent="0.25">
      <c r="A18" s="59"/>
      <c r="B18" s="13"/>
      <c r="C18" s="14"/>
      <c r="D18" s="1"/>
      <c r="E18" s="1"/>
    </row>
    <row r="19" spans="1:5" ht="13.5" thickBot="1" x14ac:dyDescent="0.25">
      <c r="A19" s="2"/>
      <c r="C19" s="4"/>
      <c r="D19" s="1"/>
      <c r="E19" s="1"/>
    </row>
    <row r="20" spans="1:5" x14ac:dyDescent="0.2">
      <c r="A20" s="10"/>
      <c r="B20" s="112" t="s">
        <v>25</v>
      </c>
      <c r="C20" s="113">
        <f>SUM(C21:C27)</f>
        <v>0</v>
      </c>
    </row>
    <row r="21" spans="1:5" x14ac:dyDescent="0.2">
      <c r="A21" s="84"/>
      <c r="B21" s="57"/>
      <c r="C21" s="69"/>
    </row>
    <row r="22" spans="1:5" x14ac:dyDescent="0.2">
      <c r="A22" s="70"/>
      <c r="B22" s="57"/>
      <c r="C22" s="69"/>
    </row>
    <row r="23" spans="1:5" x14ac:dyDescent="0.2">
      <c r="A23" s="70"/>
      <c r="B23" s="57"/>
      <c r="C23" s="69"/>
    </row>
    <row r="24" spans="1:5" x14ac:dyDescent="0.2">
      <c r="A24" s="70"/>
      <c r="B24" s="57"/>
      <c r="C24" s="69"/>
    </row>
    <row r="25" spans="1:5" x14ac:dyDescent="0.2">
      <c r="A25" s="70"/>
      <c r="B25" s="57"/>
      <c r="C25" s="69"/>
    </row>
    <row r="26" spans="1:5" x14ac:dyDescent="0.2">
      <c r="A26" s="84"/>
      <c r="B26" s="57"/>
      <c r="C26" s="69"/>
    </row>
    <row r="27" spans="1:5" ht="13.5" thickBot="1" x14ac:dyDescent="0.25">
      <c r="A27" s="12"/>
      <c r="B27" s="13"/>
      <c r="C27" s="14"/>
      <c r="D27" s="1"/>
      <c r="E27" s="1"/>
    </row>
    <row r="28" spans="1:5" ht="13.5" thickBot="1" x14ac:dyDescent="0.25">
      <c r="A28" s="2"/>
      <c r="C28" s="4"/>
      <c r="D28" s="1"/>
      <c r="E28" s="1"/>
    </row>
    <row r="29" spans="1:5" x14ac:dyDescent="0.2">
      <c r="A29" s="10"/>
      <c r="B29" s="112" t="s">
        <v>19</v>
      </c>
      <c r="C29" s="113">
        <f>SUM(C30:C32)</f>
        <v>0</v>
      </c>
    </row>
    <row r="30" spans="1:5" x14ac:dyDescent="0.2">
      <c r="A30" s="70"/>
      <c r="B30" s="57"/>
      <c r="C30" s="69"/>
    </row>
    <row r="31" spans="1:5" x14ac:dyDescent="0.2">
      <c r="A31" s="70"/>
      <c r="B31" s="57"/>
      <c r="C31" s="69"/>
    </row>
    <row r="32" spans="1:5" ht="13.5" thickBot="1" x14ac:dyDescent="0.25">
      <c r="A32" s="59"/>
      <c r="B32" s="13"/>
      <c r="C32" s="14"/>
      <c r="D32" s="1"/>
      <c r="E32" s="1"/>
    </row>
    <row r="33" spans="1:5" ht="13.5" thickBot="1" x14ac:dyDescent="0.25">
      <c r="A33" s="2"/>
      <c r="C33" s="4"/>
      <c r="D33" s="1"/>
      <c r="E33" s="1"/>
    </row>
    <row r="34" spans="1:5" x14ac:dyDescent="0.2">
      <c r="A34" s="10"/>
      <c r="B34" s="112" t="s">
        <v>58</v>
      </c>
      <c r="C34" s="113">
        <f>SUM(C35:C37)</f>
        <v>0</v>
      </c>
    </row>
    <row r="35" spans="1:5" x14ac:dyDescent="0.2">
      <c r="A35" s="94"/>
      <c r="B35" s="57"/>
      <c r="C35" s="69"/>
    </row>
    <row r="36" spans="1:5" x14ac:dyDescent="0.2">
      <c r="A36" s="94"/>
      <c r="B36" s="57"/>
      <c r="C36" s="69"/>
    </row>
    <row r="37" spans="1:5" ht="13.5" thickBot="1" x14ac:dyDescent="0.25">
      <c r="A37" s="59"/>
      <c r="B37" s="58"/>
      <c r="C37" s="14"/>
    </row>
    <row r="38" spans="1:5" ht="13.5" thickBot="1" x14ac:dyDescent="0.25">
      <c r="A38" s="2"/>
    </row>
    <row r="39" spans="1:5" x14ac:dyDescent="0.2">
      <c r="A39" s="10"/>
      <c r="B39" s="112" t="s">
        <v>55</v>
      </c>
      <c r="C39" s="113">
        <f>SUM(C40:C42)</f>
        <v>0</v>
      </c>
    </row>
    <row r="40" spans="1:5" x14ac:dyDescent="0.2">
      <c r="A40" s="84"/>
      <c r="B40" s="57"/>
      <c r="C40" s="69"/>
    </row>
    <row r="41" spans="1:5" x14ac:dyDescent="0.2">
      <c r="A41" s="84"/>
      <c r="B41" s="57"/>
      <c r="C41" s="69"/>
    </row>
    <row r="42" spans="1:5" ht="13.5" thickBot="1" x14ac:dyDescent="0.25">
      <c r="A42" s="12"/>
      <c r="B42" s="58"/>
      <c r="C42" s="14"/>
    </row>
    <row r="43" spans="1:5" ht="13.5" thickBot="1" x14ac:dyDescent="0.25">
      <c r="A43" s="21"/>
      <c r="B43" s="57"/>
      <c r="C43" s="29"/>
    </row>
    <row r="44" spans="1:5" x14ac:dyDescent="0.2">
      <c r="A44" s="10"/>
      <c r="B44" s="112" t="s">
        <v>56</v>
      </c>
      <c r="C44" s="113">
        <f>SUM(C45:C47)</f>
        <v>0</v>
      </c>
    </row>
    <row r="45" spans="1:5" x14ac:dyDescent="0.2">
      <c r="A45" s="84"/>
      <c r="B45" s="57"/>
      <c r="C45" s="71"/>
    </row>
    <row r="46" spans="1:5" x14ac:dyDescent="0.2">
      <c r="A46" s="70"/>
      <c r="B46" s="57"/>
      <c r="C46" s="71"/>
    </row>
    <row r="47" spans="1:5" ht="13.5" thickBot="1" x14ac:dyDescent="0.25">
      <c r="A47" s="59"/>
      <c r="B47" s="58"/>
      <c r="C47" s="14"/>
    </row>
    <row r="48" spans="1:5" ht="13.5" thickBot="1" x14ac:dyDescent="0.25">
      <c r="A48" s="21"/>
      <c r="B48" s="57"/>
      <c r="C48" s="29"/>
    </row>
    <row r="49" spans="1:5" x14ac:dyDescent="0.2">
      <c r="A49" s="10"/>
      <c r="B49" s="112" t="s">
        <v>50</v>
      </c>
      <c r="C49" s="113">
        <f>SUM(C50:C50)</f>
        <v>0</v>
      </c>
    </row>
    <row r="50" spans="1:5" ht="13.5" thickBot="1" x14ac:dyDescent="0.25">
      <c r="A50" s="12"/>
      <c r="B50" s="58"/>
      <c r="C50" s="14"/>
    </row>
    <row r="51" spans="1:5" ht="13.5" thickBot="1" x14ac:dyDescent="0.25">
      <c r="A51" s="2"/>
    </row>
    <row r="52" spans="1:5" x14ac:dyDescent="0.2">
      <c r="A52" s="10"/>
      <c r="B52" s="112" t="s">
        <v>28</v>
      </c>
      <c r="C52" s="113">
        <f>SUM(C53:C56)</f>
        <v>0</v>
      </c>
    </row>
    <row r="53" spans="1:5" x14ac:dyDescent="0.2">
      <c r="A53" s="121"/>
      <c r="C53" s="71"/>
    </row>
    <row r="54" spans="1:5" x14ac:dyDescent="0.2">
      <c r="A54" s="125"/>
      <c r="B54" s="3"/>
      <c r="C54" s="71"/>
    </row>
    <row r="55" spans="1:5" x14ac:dyDescent="0.2">
      <c r="A55" s="121"/>
      <c r="C55" s="71"/>
    </row>
    <row r="56" spans="1:5" ht="13.5" thickBot="1" x14ac:dyDescent="0.25">
      <c r="A56" s="59"/>
      <c r="B56" s="13"/>
      <c r="C56" s="14"/>
      <c r="D56" s="1"/>
      <c r="E56" s="1"/>
    </row>
    <row r="57" spans="1:5" ht="13.5" thickBot="1" x14ac:dyDescent="0.25">
      <c r="A57" s="2"/>
      <c r="E57" s="62"/>
    </row>
    <row r="58" spans="1:5" x14ac:dyDescent="0.2">
      <c r="A58" s="10"/>
      <c r="B58" s="112" t="s">
        <v>57</v>
      </c>
      <c r="C58" s="113">
        <f>C59</f>
        <v>0</v>
      </c>
    </row>
    <row r="59" spans="1:5" ht="13.5" thickBot="1" x14ac:dyDescent="0.25">
      <c r="A59" s="12"/>
      <c r="B59" s="58"/>
      <c r="C59" s="14"/>
    </row>
    <row r="60" spans="1:5" ht="13.5" thickBot="1" x14ac:dyDescent="0.25">
      <c r="A60" s="21"/>
      <c r="B60" s="60"/>
      <c r="C60" s="29"/>
    </row>
    <row r="61" spans="1:5" x14ac:dyDescent="0.2">
      <c r="A61" s="10"/>
      <c r="B61" s="112" t="s">
        <v>27</v>
      </c>
      <c r="C61" s="113">
        <f>SUM(C62:C65)</f>
        <v>0</v>
      </c>
    </row>
    <row r="62" spans="1:5" x14ac:dyDescent="0.2">
      <c r="A62" s="94"/>
      <c r="B62" s="57"/>
      <c r="C62" s="71"/>
    </row>
    <row r="63" spans="1:5" x14ac:dyDescent="0.2">
      <c r="A63" s="82"/>
      <c r="B63" s="57"/>
      <c r="C63" s="71"/>
    </row>
    <row r="64" spans="1:5" x14ac:dyDescent="0.2">
      <c r="A64" s="82"/>
      <c r="B64" s="57"/>
      <c r="C64" s="71"/>
    </row>
    <row r="65" spans="1:7" ht="13.5" thickBot="1" x14ac:dyDescent="0.25">
      <c r="A65" s="59"/>
      <c r="B65" s="13"/>
      <c r="C65" s="14"/>
      <c r="D65" s="1"/>
      <c r="E65" s="1"/>
    </row>
    <row r="66" spans="1:7" x14ac:dyDescent="0.2">
      <c r="A66" s="2"/>
      <c r="B66" s="7"/>
    </row>
    <row r="67" spans="1:7" ht="13.5" thickBot="1" x14ac:dyDescent="0.25">
      <c r="A67" s="9"/>
      <c r="B67" s="8"/>
      <c r="C67" s="8"/>
    </row>
    <row r="68" spans="1:7" ht="13.5" thickBot="1" x14ac:dyDescent="0.25">
      <c r="A68" s="114"/>
      <c r="B68" s="115" t="s">
        <v>29</v>
      </c>
      <c r="C68" s="116">
        <f>C69+C73+C77+C80+C83+C86+C89+C92+C95+C98+C102+C105+C109+C115+C118+C124+C128+C146</f>
        <v>86444.12</v>
      </c>
    </row>
    <row r="69" spans="1:7" x14ac:dyDescent="0.2">
      <c r="A69" s="10"/>
      <c r="B69" s="112" t="s">
        <v>26</v>
      </c>
      <c r="C69" s="113">
        <f>SUM(C70:C71)</f>
        <v>0</v>
      </c>
    </row>
    <row r="70" spans="1:7" x14ac:dyDescent="0.2">
      <c r="A70" s="70"/>
      <c r="B70" s="57"/>
      <c r="C70" s="69"/>
    </row>
    <row r="71" spans="1:7" ht="13.5" thickBot="1" x14ac:dyDescent="0.25">
      <c r="A71" s="59"/>
      <c r="B71" s="13"/>
      <c r="C71" s="14"/>
      <c r="D71" s="1"/>
      <c r="E71" s="1"/>
      <c r="G71" s="62"/>
    </row>
    <row r="72" spans="1:7" ht="13.5" thickBot="1" x14ac:dyDescent="0.25">
      <c r="A72" s="2"/>
      <c r="C72" s="4"/>
      <c r="D72" s="1"/>
      <c r="E72" s="1"/>
    </row>
    <row r="73" spans="1:7" x14ac:dyDescent="0.2">
      <c r="A73" s="10"/>
      <c r="B73" s="112" t="s">
        <v>53</v>
      </c>
      <c r="C73" s="113">
        <f>C74</f>
        <v>0</v>
      </c>
    </row>
    <row r="74" spans="1:7" x14ac:dyDescent="0.2">
      <c r="A74" s="70"/>
      <c r="B74" s="57"/>
      <c r="C74" s="71"/>
    </row>
    <row r="75" spans="1:7" ht="13.5" thickBot="1" x14ac:dyDescent="0.25">
      <c r="A75" s="12"/>
      <c r="B75" s="61"/>
      <c r="C75" s="14"/>
    </row>
    <row r="76" spans="1:7" ht="13.5" thickBot="1" x14ac:dyDescent="0.25">
      <c r="A76" s="21"/>
      <c r="B76" s="60"/>
      <c r="C76" s="29"/>
    </row>
    <row r="77" spans="1:7" x14ac:dyDescent="0.2">
      <c r="A77" s="10"/>
      <c r="B77" s="112" t="s">
        <v>51</v>
      </c>
      <c r="C77" s="113">
        <f>SUM(C78)</f>
        <v>0</v>
      </c>
    </row>
    <row r="78" spans="1:7" ht="13.5" thickBot="1" x14ac:dyDescent="0.25">
      <c r="A78" s="12"/>
      <c r="B78" s="61"/>
      <c r="C78" s="14"/>
    </row>
    <row r="79" spans="1:7" ht="13.5" thickBot="1" x14ac:dyDescent="0.25">
      <c r="A79" s="21"/>
      <c r="B79" s="60"/>
      <c r="C79" s="29"/>
    </row>
    <row r="80" spans="1:7" x14ac:dyDescent="0.2">
      <c r="A80" s="10"/>
      <c r="B80" s="112" t="s">
        <v>49</v>
      </c>
      <c r="C80" s="113">
        <f>C81</f>
        <v>0</v>
      </c>
    </row>
    <row r="81" spans="1:6" ht="13.5" thickBot="1" x14ac:dyDescent="0.25">
      <c r="A81" s="12"/>
      <c r="B81" s="58"/>
      <c r="C81" s="14"/>
    </row>
    <row r="82" spans="1:6" ht="13.5" thickBot="1" x14ac:dyDescent="0.25">
      <c r="A82" s="21"/>
      <c r="B82" s="60"/>
      <c r="C82" s="29"/>
    </row>
    <row r="83" spans="1:6" x14ac:dyDescent="0.2">
      <c r="A83" s="10"/>
      <c r="B83" s="112" t="s">
        <v>75</v>
      </c>
      <c r="C83" s="113">
        <f>C84</f>
        <v>0</v>
      </c>
    </row>
    <row r="84" spans="1:6" ht="13.5" thickBot="1" x14ac:dyDescent="0.25">
      <c r="A84" s="12"/>
      <c r="B84" s="61"/>
      <c r="C84" s="14"/>
    </row>
    <row r="85" spans="1:6" ht="13.5" thickBot="1" x14ac:dyDescent="0.25">
      <c r="A85" s="2"/>
    </row>
    <row r="86" spans="1:6" x14ac:dyDescent="0.2">
      <c r="A86" s="10"/>
      <c r="B86" s="112" t="s">
        <v>77</v>
      </c>
      <c r="C86" s="113">
        <f>C87</f>
        <v>0</v>
      </c>
    </row>
    <row r="87" spans="1:6" ht="13.5" thickBot="1" x14ac:dyDescent="0.25">
      <c r="A87" s="12"/>
      <c r="B87" s="13"/>
      <c r="C87" s="14"/>
      <c r="D87" s="1"/>
      <c r="E87" s="1"/>
    </row>
    <row r="88" spans="1:6" ht="13.5" thickBot="1" x14ac:dyDescent="0.25">
      <c r="A88" s="2"/>
      <c r="C88" s="1"/>
      <c r="D88" s="1"/>
      <c r="E88" s="1"/>
      <c r="F88" s="4"/>
    </row>
    <row r="89" spans="1:6" x14ac:dyDescent="0.2">
      <c r="A89" s="10"/>
      <c r="B89" s="112" t="s">
        <v>78</v>
      </c>
      <c r="C89" s="113">
        <f>C90</f>
        <v>0</v>
      </c>
    </row>
    <row r="90" spans="1:6" ht="13.5" thickBot="1" x14ac:dyDescent="0.25">
      <c r="A90" s="12"/>
      <c r="B90" s="18"/>
      <c r="C90" s="14"/>
      <c r="D90" s="1"/>
      <c r="E90" s="1"/>
    </row>
    <row r="91" spans="1:6" ht="13.5" thickBot="1" x14ac:dyDescent="0.25">
      <c r="A91" s="2"/>
      <c r="B91" s="3"/>
      <c r="C91" s="1"/>
      <c r="D91" s="1"/>
      <c r="E91" s="1"/>
      <c r="F91" s="4"/>
    </row>
    <row r="92" spans="1:6" x14ac:dyDescent="0.2">
      <c r="A92" s="10"/>
      <c r="B92" s="112" t="s">
        <v>30</v>
      </c>
      <c r="C92" s="113">
        <f>C93</f>
        <v>0</v>
      </c>
    </row>
    <row r="93" spans="1:6" ht="13.5" thickBot="1" x14ac:dyDescent="0.25">
      <c r="A93" s="59"/>
      <c r="B93" s="13"/>
      <c r="C93" s="14"/>
      <c r="D93" s="1"/>
      <c r="E93" s="1"/>
    </row>
    <row r="94" spans="1:6" ht="13.5" thickBot="1" x14ac:dyDescent="0.25">
      <c r="A94" s="2"/>
      <c r="C94" s="4"/>
      <c r="D94" s="1"/>
      <c r="E94" s="1"/>
    </row>
    <row r="95" spans="1:6" x14ac:dyDescent="0.2">
      <c r="A95" s="10"/>
      <c r="B95" s="112" t="s">
        <v>18</v>
      </c>
      <c r="C95" s="113">
        <f>SUM(C96:C96)</f>
        <v>0</v>
      </c>
    </row>
    <row r="96" spans="1:6" ht="13.5" thickBot="1" x14ac:dyDescent="0.25">
      <c r="A96" s="88"/>
      <c r="B96" s="18"/>
      <c r="C96" s="14"/>
      <c r="D96" s="1"/>
      <c r="E96" s="1"/>
    </row>
    <row r="97" spans="1:6" ht="13.5" thickBot="1" x14ac:dyDescent="0.25">
      <c r="A97" s="2"/>
      <c r="C97" s="1"/>
      <c r="D97" s="1"/>
      <c r="E97" s="1"/>
      <c r="F97" s="4"/>
    </row>
    <row r="98" spans="1:6" x14ac:dyDescent="0.2">
      <c r="A98" s="10"/>
      <c r="B98" s="112" t="s">
        <v>31</v>
      </c>
      <c r="C98" s="113">
        <f>SUM(C99:C100)</f>
        <v>0</v>
      </c>
    </row>
    <row r="99" spans="1:6" x14ac:dyDescent="0.2">
      <c r="A99" s="70"/>
      <c r="B99" s="57"/>
      <c r="C99" s="69"/>
    </row>
    <row r="100" spans="1:6" ht="13.5" thickBot="1" x14ac:dyDescent="0.25">
      <c r="A100" s="24"/>
      <c r="B100" s="13"/>
      <c r="C100" s="14"/>
      <c r="D100" s="1"/>
      <c r="E100" s="1"/>
    </row>
    <row r="101" spans="1:6" ht="13.5" thickBot="1" x14ac:dyDescent="0.25">
      <c r="A101" s="5"/>
      <c r="C101" s="1"/>
      <c r="D101" s="1"/>
      <c r="E101" s="1"/>
      <c r="F101" s="4"/>
    </row>
    <row r="102" spans="1:6" x14ac:dyDescent="0.2">
      <c r="A102" s="10"/>
      <c r="B102" s="112" t="s">
        <v>32</v>
      </c>
      <c r="C102" s="113">
        <f>C103</f>
        <v>0</v>
      </c>
    </row>
    <row r="103" spans="1:6" ht="13.5" thickBot="1" x14ac:dyDescent="0.25">
      <c r="A103" s="12"/>
      <c r="B103" s="58"/>
      <c r="C103" s="14"/>
    </row>
    <row r="104" spans="1:6" ht="13.5" thickBot="1" x14ac:dyDescent="0.25">
      <c r="A104" s="2"/>
    </row>
    <row r="105" spans="1:6" x14ac:dyDescent="0.2">
      <c r="A105" s="10"/>
      <c r="B105" s="112" t="s">
        <v>33</v>
      </c>
      <c r="C105" s="113">
        <f>SUM(C106:C107)</f>
        <v>0</v>
      </c>
    </row>
    <row r="106" spans="1:6" x14ac:dyDescent="0.2">
      <c r="A106" s="84"/>
      <c r="B106" s="57"/>
      <c r="C106" s="69"/>
    </row>
    <row r="107" spans="1:6" ht="13.5" thickBot="1" x14ac:dyDescent="0.25">
      <c r="A107" s="12"/>
      <c r="B107" s="61"/>
      <c r="C107" s="14"/>
    </row>
    <row r="108" spans="1:6" ht="13.5" thickBot="1" x14ac:dyDescent="0.25">
      <c r="A108" s="2"/>
    </row>
    <row r="109" spans="1:6" x14ac:dyDescent="0.2">
      <c r="A109" s="10"/>
      <c r="B109" s="112" t="s">
        <v>34</v>
      </c>
      <c r="C109" s="113">
        <f>SUM(C110:C113)</f>
        <v>2091.3599999999997</v>
      </c>
    </row>
    <row r="110" spans="1:6" x14ac:dyDescent="0.2">
      <c r="A110" s="80" t="s">
        <v>80</v>
      </c>
      <c r="B110" s="57" t="s">
        <v>81</v>
      </c>
      <c r="C110" s="71">
        <v>1144.8599999999999</v>
      </c>
    </row>
    <row r="111" spans="1:6" x14ac:dyDescent="0.2">
      <c r="A111" s="80" t="s">
        <v>79</v>
      </c>
      <c r="B111" s="57" t="s">
        <v>82</v>
      </c>
      <c r="C111" s="71">
        <f>25*18.93</f>
        <v>473.25</v>
      </c>
    </row>
    <row r="112" spans="1:6" x14ac:dyDescent="0.2">
      <c r="A112" s="80" t="s">
        <v>79</v>
      </c>
      <c r="B112" s="57" t="s">
        <v>95</v>
      </c>
      <c r="C112" s="71">
        <f>25*18.93</f>
        <v>473.25</v>
      </c>
    </row>
    <row r="113" spans="1:6" ht="13.5" thickBot="1" x14ac:dyDescent="0.25">
      <c r="A113" s="12"/>
      <c r="B113" s="13"/>
      <c r="C113" s="14"/>
      <c r="D113" s="1"/>
      <c r="E113" s="1"/>
    </row>
    <row r="114" spans="1:6" ht="13.5" thickBot="1" x14ac:dyDescent="0.25">
      <c r="A114" s="2"/>
      <c r="C114" s="1"/>
      <c r="D114" s="1"/>
      <c r="E114" s="1"/>
      <c r="F114" s="4"/>
    </row>
    <row r="115" spans="1:6" x14ac:dyDescent="0.2">
      <c r="A115" s="10"/>
      <c r="B115" s="112" t="s">
        <v>35</v>
      </c>
      <c r="C115" s="113">
        <f>SUM(C116:C116)</f>
        <v>1800</v>
      </c>
    </row>
    <row r="116" spans="1:6" ht="13.5" thickBot="1" x14ac:dyDescent="0.25">
      <c r="A116" s="108" t="s">
        <v>92</v>
      </c>
      <c r="B116" s="18" t="s">
        <v>204</v>
      </c>
      <c r="C116" s="14">
        <v>1800</v>
      </c>
      <c r="D116" s="1"/>
      <c r="E116" s="1"/>
    </row>
    <row r="117" spans="1:6" ht="13.5" thickBot="1" x14ac:dyDescent="0.25">
      <c r="A117" s="2"/>
      <c r="C117" s="1"/>
      <c r="D117" s="1"/>
      <c r="E117" s="1"/>
      <c r="F117" s="4"/>
    </row>
    <row r="118" spans="1:6" x14ac:dyDescent="0.2">
      <c r="A118" s="10"/>
      <c r="B118" s="112" t="s">
        <v>37</v>
      </c>
      <c r="C118" s="113">
        <f>SUM(C119:C122)</f>
        <v>218.76</v>
      </c>
      <c r="D118" s="1"/>
      <c r="E118" s="1"/>
    </row>
    <row r="119" spans="1:6" x14ac:dyDescent="0.2">
      <c r="A119" s="84" t="s">
        <v>79</v>
      </c>
      <c r="B119" s="57" t="s">
        <v>83</v>
      </c>
      <c r="C119" s="69">
        <v>108.99</v>
      </c>
      <c r="D119" s="1"/>
      <c r="E119" s="1"/>
    </row>
    <row r="120" spans="1:6" x14ac:dyDescent="0.2">
      <c r="A120" s="84" t="s">
        <v>79</v>
      </c>
      <c r="B120" s="57" t="s">
        <v>94</v>
      </c>
      <c r="C120" s="69">
        <v>109.77</v>
      </c>
      <c r="D120" s="1"/>
      <c r="E120" s="1"/>
    </row>
    <row r="121" spans="1:6" x14ac:dyDescent="0.2">
      <c r="A121" s="70"/>
      <c r="B121" s="57"/>
      <c r="C121" s="69"/>
      <c r="D121" s="1"/>
      <c r="E121" s="1"/>
    </row>
    <row r="122" spans="1:6" ht="13.5" thickBot="1" x14ac:dyDescent="0.25">
      <c r="A122" s="12"/>
      <c r="B122" s="13"/>
      <c r="C122" s="14"/>
      <c r="D122" s="1"/>
      <c r="E122" s="1"/>
    </row>
    <row r="123" spans="1:6" ht="13.5" thickBot="1" x14ac:dyDescent="0.25">
      <c r="A123" s="21"/>
      <c r="B123" s="11"/>
      <c r="C123" s="29"/>
      <c r="D123" s="1"/>
      <c r="E123" s="1"/>
    </row>
    <row r="124" spans="1:6" x14ac:dyDescent="0.2">
      <c r="A124" s="10"/>
      <c r="B124" s="112" t="s">
        <v>54</v>
      </c>
      <c r="C124" s="113">
        <f>SUM(C125:C126)</f>
        <v>0</v>
      </c>
      <c r="D124" s="1"/>
      <c r="E124" s="1"/>
    </row>
    <row r="125" spans="1:6" x14ac:dyDescent="0.2">
      <c r="A125" s="94"/>
      <c r="B125" s="57"/>
      <c r="C125" s="69"/>
      <c r="D125" s="1"/>
      <c r="E125" s="1"/>
    </row>
    <row r="126" spans="1:6" ht="13.5" thickBot="1" x14ac:dyDescent="0.25">
      <c r="A126" s="108"/>
      <c r="B126" s="58"/>
      <c r="C126" s="14"/>
      <c r="D126" s="1"/>
      <c r="E126" s="1"/>
    </row>
    <row r="127" spans="1:6" ht="13.5" thickBot="1" x14ac:dyDescent="0.25">
      <c r="A127" s="26"/>
      <c r="B127" s="57"/>
      <c r="C127" s="29"/>
      <c r="D127" s="1"/>
      <c r="E127" s="1"/>
    </row>
    <row r="128" spans="1:6" x14ac:dyDescent="0.2">
      <c r="A128" s="23"/>
      <c r="B128" s="112" t="s">
        <v>38</v>
      </c>
      <c r="C128" s="113">
        <f>SUM(C129:C144)</f>
        <v>82334</v>
      </c>
      <c r="D128" s="1"/>
      <c r="E128" s="1"/>
    </row>
    <row r="129" spans="1:5" x14ac:dyDescent="0.2">
      <c r="A129" s="96" t="s">
        <v>79</v>
      </c>
      <c r="B129" s="57" t="s">
        <v>84</v>
      </c>
      <c r="C129" s="69">
        <v>6393</v>
      </c>
      <c r="D129" s="1"/>
      <c r="E129" s="1"/>
    </row>
    <row r="130" spans="1:5" x14ac:dyDescent="0.2">
      <c r="A130" s="96" t="s">
        <v>79</v>
      </c>
      <c r="B130" s="57" t="s">
        <v>85</v>
      </c>
      <c r="C130" s="69">
        <v>513</v>
      </c>
      <c r="D130" s="1"/>
      <c r="E130" s="1"/>
    </row>
    <row r="131" spans="1:5" x14ac:dyDescent="0.2">
      <c r="A131" s="96" t="s">
        <v>79</v>
      </c>
      <c r="B131" s="57" t="s">
        <v>86</v>
      </c>
      <c r="C131" s="69">
        <v>6393</v>
      </c>
      <c r="D131" s="1"/>
      <c r="E131" s="1"/>
    </row>
    <row r="132" spans="1:5" x14ac:dyDescent="0.2">
      <c r="A132" s="96" t="s">
        <v>79</v>
      </c>
      <c r="B132" s="57" t="s">
        <v>87</v>
      </c>
      <c r="C132" s="69">
        <v>513</v>
      </c>
      <c r="D132" s="1"/>
      <c r="E132" s="1"/>
    </row>
    <row r="133" spans="1:5" x14ac:dyDescent="0.2">
      <c r="A133" s="96" t="s">
        <v>79</v>
      </c>
      <c r="B133" s="57" t="s">
        <v>88</v>
      </c>
      <c r="C133" s="69">
        <v>6393</v>
      </c>
      <c r="D133" s="1"/>
      <c r="E133" s="1"/>
    </row>
    <row r="134" spans="1:5" x14ac:dyDescent="0.2">
      <c r="A134" s="96" t="s">
        <v>79</v>
      </c>
      <c r="B134" s="57" t="s">
        <v>89</v>
      </c>
      <c r="C134" s="69">
        <v>513</v>
      </c>
      <c r="D134" s="1"/>
      <c r="E134" s="1"/>
    </row>
    <row r="135" spans="1:5" x14ac:dyDescent="0.2">
      <c r="A135" s="96" t="s">
        <v>79</v>
      </c>
      <c r="B135" s="57" t="s">
        <v>90</v>
      </c>
      <c r="C135" s="69">
        <v>11816</v>
      </c>
      <c r="D135" s="1"/>
      <c r="E135" s="1"/>
    </row>
    <row r="136" spans="1:5" x14ac:dyDescent="0.2">
      <c r="A136" s="96" t="s">
        <v>79</v>
      </c>
      <c r="B136" s="57" t="s">
        <v>91</v>
      </c>
      <c r="C136" s="69">
        <v>49800</v>
      </c>
      <c r="D136" s="1"/>
      <c r="E136" s="1"/>
    </row>
    <row r="137" spans="1:5" x14ac:dyDescent="0.2">
      <c r="A137" s="96"/>
      <c r="B137" s="57"/>
      <c r="C137" s="69"/>
      <c r="D137" s="1"/>
      <c r="E137" s="1"/>
    </row>
    <row r="138" spans="1:5" x14ac:dyDescent="0.2">
      <c r="A138" s="96"/>
      <c r="B138" s="57"/>
      <c r="C138" s="69"/>
      <c r="D138" s="1"/>
      <c r="E138" s="1"/>
    </row>
    <row r="139" spans="1:5" x14ac:dyDescent="0.2">
      <c r="A139" s="96"/>
      <c r="B139" s="57"/>
      <c r="C139" s="69"/>
      <c r="D139" s="1"/>
      <c r="E139" s="1"/>
    </row>
    <row r="140" spans="1:5" x14ac:dyDescent="0.2">
      <c r="A140" s="96"/>
      <c r="B140" s="57"/>
      <c r="C140" s="69"/>
      <c r="D140" s="1"/>
      <c r="E140" s="1"/>
    </row>
    <row r="141" spans="1:5" x14ac:dyDescent="0.2">
      <c r="A141" s="96"/>
      <c r="B141" s="57"/>
      <c r="C141" s="69"/>
      <c r="D141" s="1"/>
      <c r="E141" s="1"/>
    </row>
    <row r="142" spans="1:5" x14ac:dyDescent="0.2">
      <c r="A142" s="96"/>
      <c r="B142" s="57"/>
      <c r="C142" s="69"/>
      <c r="D142" s="1"/>
      <c r="E142" s="1"/>
    </row>
    <row r="143" spans="1:5" x14ac:dyDescent="0.2">
      <c r="A143" s="96"/>
      <c r="B143" s="57"/>
      <c r="C143" s="69"/>
      <c r="D143" s="1"/>
      <c r="E143" s="1"/>
    </row>
    <row r="144" spans="1:5" ht="13.5" thickBot="1" x14ac:dyDescent="0.25">
      <c r="A144" s="105"/>
      <c r="B144" s="58"/>
      <c r="C144" s="14"/>
      <c r="D144" s="1"/>
      <c r="E144" s="1"/>
    </row>
    <row r="145" spans="1:5" ht="13.5" thickBot="1" x14ac:dyDescent="0.25">
      <c r="A145" s="26"/>
      <c r="B145" s="57"/>
      <c r="C145" s="29"/>
      <c r="D145" s="1"/>
      <c r="E145" s="1"/>
    </row>
    <row r="146" spans="1:5" x14ac:dyDescent="0.2">
      <c r="A146" s="10"/>
      <c r="B146" s="112" t="s">
        <v>27</v>
      </c>
      <c r="C146" s="113">
        <f>SUM(C147:C150)</f>
        <v>0</v>
      </c>
      <c r="D146" s="1"/>
      <c r="E146" s="1"/>
    </row>
    <row r="147" spans="1:5" x14ac:dyDescent="0.2">
      <c r="A147" s="84"/>
      <c r="B147" s="57"/>
      <c r="C147" s="69"/>
      <c r="D147" s="1"/>
      <c r="E147" s="1"/>
    </row>
    <row r="148" spans="1:5" x14ac:dyDescent="0.2">
      <c r="A148" s="70"/>
      <c r="B148" s="57"/>
      <c r="C148" s="69"/>
      <c r="D148" s="1"/>
      <c r="E148" s="1"/>
    </row>
    <row r="149" spans="1:5" x14ac:dyDescent="0.2">
      <c r="A149" s="70"/>
      <c r="B149" s="57"/>
      <c r="C149" s="69"/>
      <c r="D149" s="1"/>
      <c r="E149" s="1"/>
    </row>
    <row r="150" spans="1:5" ht="13.5" thickBot="1" x14ac:dyDescent="0.25">
      <c r="A150" s="59"/>
      <c r="B150" s="13"/>
      <c r="C150" s="14"/>
      <c r="D150" s="1"/>
      <c r="E150" s="1"/>
    </row>
    <row r="151" spans="1:5" x14ac:dyDescent="0.2">
      <c r="A151" s="2"/>
    </row>
    <row r="152" spans="1:5" ht="13.5" thickBot="1" x14ac:dyDescent="0.25">
      <c r="A152" s="28"/>
      <c r="B152" s="8"/>
      <c r="C152" s="8"/>
    </row>
    <row r="153" spans="1:5" ht="13.5" thickBot="1" x14ac:dyDescent="0.25">
      <c r="A153" s="117"/>
      <c r="B153" s="115" t="s">
        <v>0</v>
      </c>
      <c r="C153" s="116">
        <f>SUM(C154:C154)</f>
        <v>0</v>
      </c>
    </row>
    <row r="154" spans="1:5" ht="13.5" thickBot="1" x14ac:dyDescent="0.25">
      <c r="A154" s="27"/>
      <c r="B154" s="63"/>
      <c r="C154" s="64"/>
    </row>
    <row r="155" spans="1:5" x14ac:dyDescent="0.2">
      <c r="A155" s="2"/>
    </row>
    <row r="156" spans="1:5" x14ac:dyDescent="0.2">
      <c r="A156" s="2"/>
    </row>
    <row r="157" spans="1:5" x14ac:dyDescent="0.2">
      <c r="A157" s="2"/>
    </row>
    <row r="158" spans="1:5" x14ac:dyDescent="0.2">
      <c r="A158" s="2"/>
    </row>
    <row r="159" spans="1:5" x14ac:dyDescent="0.2">
      <c r="A159" s="2"/>
    </row>
    <row r="160" spans="1:5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</sheetData>
  <mergeCells count="1">
    <mergeCell ref="A2:B2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F234"/>
  <sheetViews>
    <sheetView topLeftCell="A163" workbookViewId="0">
      <selection activeCell="B183" sqref="B183"/>
    </sheetView>
  </sheetViews>
  <sheetFormatPr defaultRowHeight="12.75" x14ac:dyDescent="0.2"/>
  <cols>
    <col min="1" max="1" width="10.140625" style="22" bestFit="1" customWidth="1"/>
    <col min="2" max="2" width="84.28515625" customWidth="1"/>
    <col min="3" max="3" width="18.42578125" customWidth="1"/>
  </cols>
  <sheetData>
    <row r="1" spans="1:6" ht="13.5" thickBot="1" x14ac:dyDescent="0.25">
      <c r="A1"/>
    </row>
    <row r="2" spans="1:6" ht="13.5" thickBot="1" x14ac:dyDescent="0.25">
      <c r="A2" s="147" t="s">
        <v>64</v>
      </c>
      <c r="B2" s="148"/>
      <c r="C2" s="20">
        <f>C4+C92</f>
        <v>424910.56520000007</v>
      </c>
      <c r="D2" s="6"/>
      <c r="E2" s="6"/>
      <c r="F2" s="6"/>
    </row>
    <row r="3" spans="1:6" ht="13.5" thickBot="1" x14ac:dyDescent="0.25">
      <c r="A3" s="16" t="s">
        <v>20</v>
      </c>
      <c r="B3" s="15" t="s">
        <v>21</v>
      </c>
      <c r="C3" s="17" t="s">
        <v>22</v>
      </c>
    </row>
    <row r="4" spans="1:6" ht="13.5" thickBot="1" x14ac:dyDescent="0.25">
      <c r="A4" s="114"/>
      <c r="B4" s="115" t="s">
        <v>23</v>
      </c>
      <c r="C4" s="116">
        <f>C5+C10+C15+C22+C27+C34+C40+C49+C59+C66+C69+C79+C82</f>
        <v>82962.285200000013</v>
      </c>
    </row>
    <row r="5" spans="1:6" x14ac:dyDescent="0.2">
      <c r="A5" s="10"/>
      <c r="B5" s="112" t="s">
        <v>36</v>
      </c>
      <c r="C5" s="113">
        <f>SUM(C6:C8)</f>
        <v>0</v>
      </c>
    </row>
    <row r="6" spans="1:6" x14ac:dyDescent="0.2">
      <c r="A6" s="70"/>
      <c r="B6" s="57"/>
      <c r="C6" s="69"/>
    </row>
    <row r="7" spans="1:6" x14ac:dyDescent="0.2">
      <c r="A7" s="70"/>
      <c r="B7" s="57"/>
      <c r="C7" s="69"/>
    </row>
    <row r="8" spans="1:6" ht="13.5" thickBot="1" x14ac:dyDescent="0.25">
      <c r="A8" s="59"/>
      <c r="B8" s="13"/>
      <c r="C8" s="14"/>
      <c r="D8" s="1"/>
      <c r="E8" s="1"/>
    </row>
    <row r="9" spans="1:6" ht="13.5" thickBot="1" x14ac:dyDescent="0.25">
      <c r="A9" s="21"/>
      <c r="B9" s="11"/>
      <c r="C9" s="29"/>
      <c r="D9" s="1"/>
      <c r="E9" s="1"/>
    </row>
    <row r="10" spans="1:6" x14ac:dyDescent="0.2">
      <c r="A10" s="10"/>
      <c r="B10" s="112" t="s">
        <v>47</v>
      </c>
      <c r="C10" s="113">
        <f>SUM(C11:C13)</f>
        <v>0</v>
      </c>
      <c r="D10" s="1"/>
      <c r="E10" s="1"/>
    </row>
    <row r="11" spans="1:6" x14ac:dyDescent="0.2">
      <c r="A11" s="70"/>
      <c r="B11" s="57"/>
      <c r="C11" s="69"/>
      <c r="D11" s="1"/>
      <c r="E11" s="1"/>
    </row>
    <row r="12" spans="1:6" x14ac:dyDescent="0.2">
      <c r="A12" s="70"/>
      <c r="B12" s="57"/>
      <c r="C12" s="69"/>
      <c r="D12" s="1"/>
      <c r="E12" s="1"/>
    </row>
    <row r="13" spans="1:6" ht="13.5" thickBot="1" x14ac:dyDescent="0.25">
      <c r="A13" s="12"/>
      <c r="B13" s="13"/>
      <c r="C13" s="14"/>
      <c r="D13" s="1"/>
      <c r="E13" s="1"/>
    </row>
    <row r="14" spans="1:6" ht="13.5" thickBot="1" x14ac:dyDescent="0.25">
      <c r="A14" s="21"/>
      <c r="B14" s="11"/>
      <c r="C14" s="29"/>
      <c r="D14" s="1"/>
      <c r="E14" s="1"/>
    </row>
    <row r="15" spans="1:6" x14ac:dyDescent="0.2">
      <c r="A15" s="10"/>
      <c r="B15" s="112" t="s">
        <v>48</v>
      </c>
      <c r="C15" s="113">
        <f>SUM(C16:C20)</f>
        <v>0</v>
      </c>
      <c r="D15" s="1"/>
      <c r="E15" s="1"/>
    </row>
    <row r="16" spans="1:6" x14ac:dyDescent="0.2">
      <c r="A16" s="70"/>
      <c r="B16" s="57"/>
      <c r="C16" s="69"/>
      <c r="D16" s="1"/>
      <c r="E16" s="1"/>
    </row>
    <row r="17" spans="1:5" x14ac:dyDescent="0.2">
      <c r="A17" s="70"/>
      <c r="B17" s="57"/>
      <c r="C17" s="69"/>
      <c r="D17" s="1"/>
      <c r="E17" s="1"/>
    </row>
    <row r="18" spans="1:5" x14ac:dyDescent="0.2">
      <c r="A18" s="70"/>
      <c r="B18" s="57"/>
      <c r="C18" s="69"/>
      <c r="D18" s="1"/>
      <c r="E18" s="1"/>
    </row>
    <row r="19" spans="1:5" x14ac:dyDescent="0.2">
      <c r="A19" s="70"/>
      <c r="B19" s="57"/>
      <c r="C19" s="69"/>
      <c r="D19" s="1"/>
      <c r="E19" s="1"/>
    </row>
    <row r="20" spans="1:5" ht="13.5" thickBot="1" x14ac:dyDescent="0.25">
      <c r="A20" s="59"/>
      <c r="B20" s="13"/>
      <c r="C20" s="14"/>
      <c r="D20" s="1"/>
      <c r="E20" s="1"/>
    </row>
    <row r="21" spans="1:5" ht="13.5" thickBot="1" x14ac:dyDescent="0.25">
      <c r="A21" s="2"/>
      <c r="C21" s="4"/>
      <c r="D21" s="1"/>
      <c r="E21" s="1"/>
    </row>
    <row r="22" spans="1:5" x14ac:dyDescent="0.2">
      <c r="A22" s="10"/>
      <c r="B22" s="112" t="s">
        <v>24</v>
      </c>
      <c r="C22" s="113">
        <f>SUM(C23:C25)</f>
        <v>0</v>
      </c>
      <c r="D22" s="1"/>
      <c r="E22" s="1"/>
    </row>
    <row r="23" spans="1:5" x14ac:dyDescent="0.2">
      <c r="A23" s="70"/>
      <c r="B23" s="57"/>
      <c r="C23" s="69"/>
      <c r="D23" s="1"/>
      <c r="E23" s="1"/>
    </row>
    <row r="24" spans="1:5" x14ac:dyDescent="0.2">
      <c r="A24" s="70"/>
      <c r="B24" s="57"/>
      <c r="C24" s="69"/>
      <c r="D24" s="1"/>
      <c r="E24" s="1"/>
    </row>
    <row r="25" spans="1:5" ht="13.5" thickBot="1" x14ac:dyDescent="0.25">
      <c r="A25" s="12"/>
      <c r="B25" s="13"/>
      <c r="C25" s="14"/>
      <c r="D25" s="1"/>
      <c r="E25" s="1"/>
    </row>
    <row r="26" spans="1:5" ht="13.5" thickBot="1" x14ac:dyDescent="0.25">
      <c r="A26" s="2"/>
      <c r="C26" s="4"/>
      <c r="D26" s="1"/>
      <c r="E26" s="1"/>
    </row>
    <row r="27" spans="1:5" x14ac:dyDescent="0.2">
      <c r="A27" s="10"/>
      <c r="B27" s="112" t="s">
        <v>25</v>
      </c>
      <c r="C27" s="113">
        <f>SUM(C28:C32)</f>
        <v>51219.93</v>
      </c>
      <c r="D27" s="1"/>
      <c r="E27" s="1"/>
    </row>
    <row r="28" spans="1:5" x14ac:dyDescent="0.2">
      <c r="A28" s="70">
        <v>44974</v>
      </c>
      <c r="B28" s="57" t="s">
        <v>127</v>
      </c>
      <c r="C28" s="69">
        <v>30900</v>
      </c>
      <c r="D28" s="1"/>
      <c r="E28" s="1"/>
    </row>
    <row r="29" spans="1:5" x14ac:dyDescent="0.2">
      <c r="A29" s="70">
        <v>44966</v>
      </c>
      <c r="B29" s="57" t="s">
        <v>164</v>
      </c>
      <c r="C29" s="69">
        <v>18461.8</v>
      </c>
      <c r="D29" s="1"/>
      <c r="E29" s="1"/>
    </row>
    <row r="30" spans="1:5" x14ac:dyDescent="0.2">
      <c r="A30" s="70">
        <v>44964</v>
      </c>
      <c r="B30" s="57" t="s">
        <v>189</v>
      </c>
      <c r="C30" s="69">
        <v>1858.13</v>
      </c>
      <c r="D30" s="1"/>
      <c r="E30" s="1"/>
    </row>
    <row r="31" spans="1:5" x14ac:dyDescent="0.2">
      <c r="A31" s="70"/>
      <c r="B31" s="57"/>
      <c r="C31" s="69"/>
      <c r="D31" s="1"/>
      <c r="E31" s="1"/>
    </row>
    <row r="32" spans="1:5" ht="13.5" thickBot="1" x14ac:dyDescent="0.25">
      <c r="A32" s="12"/>
      <c r="B32" s="13"/>
      <c r="C32" s="14"/>
      <c r="D32" s="1"/>
      <c r="E32" s="1"/>
    </row>
    <row r="33" spans="1:6" ht="13.5" thickBot="1" x14ac:dyDescent="0.25">
      <c r="A33" s="2"/>
      <c r="C33" s="4"/>
      <c r="D33" s="1"/>
      <c r="E33" s="1"/>
      <c r="F33" s="4"/>
    </row>
    <row r="34" spans="1:6" x14ac:dyDescent="0.2">
      <c r="A34" s="10"/>
      <c r="B34" s="112" t="s">
        <v>19</v>
      </c>
      <c r="C34" s="113">
        <f>SUM(C35:C38)</f>
        <v>0</v>
      </c>
    </row>
    <row r="35" spans="1:6" x14ac:dyDescent="0.2">
      <c r="A35" s="70"/>
      <c r="B35" s="57"/>
      <c r="C35" s="69"/>
    </row>
    <row r="36" spans="1:6" x14ac:dyDescent="0.2">
      <c r="A36" s="70"/>
      <c r="B36" s="57"/>
      <c r="C36" s="69"/>
    </row>
    <row r="37" spans="1:6" x14ac:dyDescent="0.2">
      <c r="A37" s="70"/>
      <c r="B37" s="57"/>
      <c r="C37" s="69"/>
    </row>
    <row r="38" spans="1:6" ht="13.5" thickBot="1" x14ac:dyDescent="0.25">
      <c r="A38" s="12"/>
      <c r="B38" s="13"/>
      <c r="C38" s="14"/>
      <c r="D38" s="1"/>
      <c r="E38" s="1"/>
    </row>
    <row r="39" spans="1:6" ht="13.5" thickBot="1" x14ac:dyDescent="0.25">
      <c r="A39" s="2"/>
      <c r="C39" s="4"/>
      <c r="D39" s="1"/>
      <c r="E39" s="1"/>
      <c r="F39" s="4"/>
    </row>
    <row r="40" spans="1:6" x14ac:dyDescent="0.2">
      <c r="A40" s="10"/>
      <c r="B40" s="112" t="s">
        <v>58</v>
      </c>
      <c r="C40" s="113">
        <f>SUM(C41:C46)</f>
        <v>0</v>
      </c>
    </row>
    <row r="41" spans="1:6" x14ac:dyDescent="0.2">
      <c r="A41" s="70"/>
      <c r="B41" s="57"/>
      <c r="C41" s="69"/>
    </row>
    <row r="42" spans="1:6" x14ac:dyDescent="0.2">
      <c r="A42" s="70"/>
      <c r="B42" s="57"/>
      <c r="C42" s="69"/>
    </row>
    <row r="43" spans="1:6" x14ac:dyDescent="0.2">
      <c r="A43" s="70"/>
      <c r="B43" s="57"/>
      <c r="C43" s="69"/>
    </row>
    <row r="44" spans="1:6" x14ac:dyDescent="0.2">
      <c r="A44" s="70"/>
      <c r="B44" s="57"/>
      <c r="C44" s="69"/>
    </row>
    <row r="45" spans="1:6" x14ac:dyDescent="0.2">
      <c r="A45" s="70"/>
      <c r="B45" s="57"/>
      <c r="C45" s="69"/>
    </row>
    <row r="46" spans="1:6" x14ac:dyDescent="0.2">
      <c r="A46" s="70"/>
      <c r="B46" s="57"/>
      <c r="C46" s="69"/>
    </row>
    <row r="47" spans="1:6" ht="13.5" thickBot="1" x14ac:dyDescent="0.25">
      <c r="A47" s="12"/>
      <c r="B47" s="61"/>
      <c r="C47" s="14"/>
      <c r="D47" s="1"/>
      <c r="E47" s="1"/>
    </row>
    <row r="48" spans="1:6" ht="13.5" thickBot="1" x14ac:dyDescent="0.25">
      <c r="A48" s="2"/>
      <c r="D48" s="1"/>
      <c r="E48" s="1"/>
    </row>
    <row r="49" spans="1:6" x14ac:dyDescent="0.2">
      <c r="A49" s="10"/>
      <c r="B49" s="112" t="s">
        <v>55</v>
      </c>
      <c r="C49" s="113">
        <f>SUM(C50:C57)</f>
        <v>22969.3452</v>
      </c>
      <c r="D49" s="1"/>
      <c r="E49" s="1"/>
      <c r="F49" s="4"/>
    </row>
    <row r="50" spans="1:6" x14ac:dyDescent="0.2">
      <c r="A50" s="70">
        <v>44965</v>
      </c>
      <c r="B50" s="57" t="s">
        <v>128</v>
      </c>
      <c r="C50" s="69">
        <f>1048.68*18.89</f>
        <v>19809.565200000001</v>
      </c>
      <c r="D50" s="1"/>
      <c r="E50" s="1"/>
      <c r="F50" s="4"/>
    </row>
    <row r="51" spans="1:6" x14ac:dyDescent="0.2">
      <c r="A51" s="70">
        <v>44966</v>
      </c>
      <c r="B51" s="57" t="s">
        <v>163</v>
      </c>
      <c r="C51" s="69">
        <f>2092.01+667.78+399.99</f>
        <v>3159.7799999999997</v>
      </c>
      <c r="D51" s="1"/>
      <c r="E51" s="1"/>
      <c r="F51" s="4"/>
    </row>
    <row r="52" spans="1:6" x14ac:dyDescent="0.2">
      <c r="A52" s="70"/>
      <c r="B52" s="57"/>
      <c r="C52" s="69"/>
      <c r="D52" s="1"/>
      <c r="E52" s="1"/>
      <c r="F52" s="4"/>
    </row>
    <row r="53" spans="1:6" x14ac:dyDescent="0.2">
      <c r="A53" s="70"/>
      <c r="B53" s="57"/>
      <c r="C53" s="69"/>
      <c r="D53" s="1"/>
      <c r="E53" s="1"/>
      <c r="F53" s="4"/>
    </row>
    <row r="54" spans="1:6" x14ac:dyDescent="0.2">
      <c r="A54" s="70"/>
      <c r="B54" s="57"/>
      <c r="C54" s="69"/>
      <c r="D54" s="1"/>
      <c r="E54" s="1"/>
      <c r="F54" s="4"/>
    </row>
    <row r="55" spans="1:6" x14ac:dyDescent="0.2">
      <c r="A55" s="70"/>
      <c r="B55" s="57"/>
      <c r="C55" s="69"/>
      <c r="D55" s="1"/>
      <c r="E55" s="1"/>
      <c r="F55" s="4"/>
    </row>
    <row r="56" spans="1:6" x14ac:dyDescent="0.2">
      <c r="A56" s="70"/>
      <c r="B56" s="57"/>
      <c r="C56" s="69"/>
      <c r="D56" s="1"/>
      <c r="E56" s="1"/>
      <c r="F56" s="4"/>
    </row>
    <row r="57" spans="1:6" ht="13.5" thickBot="1" x14ac:dyDescent="0.25">
      <c r="A57" s="12"/>
      <c r="B57" s="58"/>
      <c r="C57" s="14"/>
    </row>
    <row r="58" spans="1:6" ht="13.5" thickBot="1" x14ac:dyDescent="0.25">
      <c r="A58" s="21"/>
      <c r="B58" s="57"/>
      <c r="C58" s="29"/>
      <c r="D58" s="1"/>
      <c r="E58" s="1"/>
    </row>
    <row r="59" spans="1:6" x14ac:dyDescent="0.2">
      <c r="A59" s="10"/>
      <c r="B59" s="112" t="s">
        <v>56</v>
      </c>
      <c r="C59" s="113">
        <f>SUM(C60:C64)</f>
        <v>4168.55</v>
      </c>
    </row>
    <row r="60" spans="1:6" x14ac:dyDescent="0.2">
      <c r="A60" s="70">
        <v>44972</v>
      </c>
      <c r="B60" s="57" t="s">
        <v>117</v>
      </c>
      <c r="C60" s="69">
        <f>1631.15+614.01+545.01+331.18+594+171.23+188+44.5+49.47</f>
        <v>4168.55</v>
      </c>
    </row>
    <row r="61" spans="1:6" x14ac:dyDescent="0.2">
      <c r="A61" s="70"/>
      <c r="B61" s="57"/>
      <c r="C61" s="69"/>
    </row>
    <row r="62" spans="1:6" x14ac:dyDescent="0.2">
      <c r="A62" s="70"/>
      <c r="B62" s="57"/>
      <c r="C62" s="69"/>
    </row>
    <row r="63" spans="1:6" x14ac:dyDescent="0.2">
      <c r="A63" s="70"/>
      <c r="B63" s="57"/>
      <c r="C63" s="69"/>
    </row>
    <row r="64" spans="1:6" ht="13.5" thickBot="1" x14ac:dyDescent="0.25">
      <c r="A64" s="12"/>
      <c r="B64" s="58"/>
      <c r="C64" s="14"/>
      <c r="D64" s="1"/>
      <c r="E64" s="1"/>
    </row>
    <row r="65" spans="1:6" ht="13.5" thickBot="1" x14ac:dyDescent="0.25">
      <c r="A65" s="82"/>
      <c r="B65" s="57"/>
      <c r="C65" s="29"/>
      <c r="D65" s="1"/>
      <c r="E65" s="1"/>
    </row>
    <row r="66" spans="1:6" x14ac:dyDescent="0.2">
      <c r="A66" s="10"/>
      <c r="B66" s="112" t="s">
        <v>50</v>
      </c>
      <c r="C66" s="113">
        <f>SUM(C67)</f>
        <v>0</v>
      </c>
      <c r="D66" s="1"/>
      <c r="E66" s="1"/>
    </row>
    <row r="67" spans="1:6" ht="13.5" thickBot="1" x14ac:dyDescent="0.25">
      <c r="A67" s="59"/>
      <c r="B67" s="58"/>
      <c r="C67" s="14"/>
      <c r="D67" s="1"/>
      <c r="E67" s="1"/>
    </row>
    <row r="68" spans="1:6" ht="13.5" thickBot="1" x14ac:dyDescent="0.25">
      <c r="A68" s="2"/>
      <c r="D68" s="1"/>
      <c r="E68" s="1"/>
    </row>
    <row r="69" spans="1:6" x14ac:dyDescent="0.2">
      <c r="A69" s="10"/>
      <c r="B69" s="112" t="s">
        <v>28</v>
      </c>
      <c r="C69" s="113">
        <f>SUM(C70:C77)</f>
        <v>0</v>
      </c>
      <c r="D69" s="1"/>
      <c r="E69" s="1"/>
    </row>
    <row r="70" spans="1:6" x14ac:dyDescent="0.2">
      <c r="A70" s="70"/>
      <c r="B70" s="57"/>
      <c r="C70" s="69"/>
      <c r="D70" s="1"/>
      <c r="E70" s="1"/>
    </row>
    <row r="71" spans="1:6" x14ac:dyDescent="0.2">
      <c r="A71" s="70"/>
      <c r="B71" s="57"/>
      <c r="C71" s="69"/>
      <c r="D71" s="1"/>
      <c r="E71" s="1"/>
    </row>
    <row r="72" spans="1:6" x14ac:dyDescent="0.2">
      <c r="A72" s="70"/>
      <c r="B72" s="57"/>
      <c r="C72" s="69"/>
      <c r="D72" s="1"/>
      <c r="E72" s="1"/>
    </row>
    <row r="73" spans="1:6" x14ac:dyDescent="0.2">
      <c r="A73" s="70"/>
      <c r="B73" s="57"/>
      <c r="C73" s="69"/>
      <c r="D73" s="1"/>
      <c r="E73" s="1"/>
    </row>
    <row r="74" spans="1:6" x14ac:dyDescent="0.2">
      <c r="A74" s="70"/>
      <c r="B74" s="57"/>
      <c r="C74" s="69"/>
      <c r="D74" s="1"/>
      <c r="E74" s="1"/>
    </row>
    <row r="75" spans="1:6" x14ac:dyDescent="0.2">
      <c r="A75" s="70"/>
      <c r="B75" s="57"/>
      <c r="C75" s="69"/>
      <c r="D75" s="1"/>
      <c r="E75" s="1"/>
    </row>
    <row r="76" spans="1:6" x14ac:dyDescent="0.2">
      <c r="A76" s="70"/>
      <c r="B76" s="57"/>
      <c r="C76" s="69"/>
      <c r="D76" s="1"/>
      <c r="E76" s="1"/>
    </row>
    <row r="77" spans="1:6" ht="13.5" thickBot="1" x14ac:dyDescent="0.25">
      <c r="A77" s="59"/>
      <c r="B77" s="13"/>
      <c r="C77" s="14"/>
      <c r="D77" s="1"/>
      <c r="E77" s="1"/>
    </row>
    <row r="78" spans="1:6" ht="13.5" thickBot="1" x14ac:dyDescent="0.25">
      <c r="A78" s="2"/>
    </row>
    <row r="79" spans="1:6" x14ac:dyDescent="0.2">
      <c r="A79" s="10"/>
      <c r="B79" s="112" t="s">
        <v>57</v>
      </c>
      <c r="C79" s="113">
        <f>C80</f>
        <v>0</v>
      </c>
      <c r="D79" s="1"/>
      <c r="E79" s="1"/>
    </row>
    <row r="80" spans="1:6" ht="13.5" thickBot="1" x14ac:dyDescent="0.25">
      <c r="A80" s="59"/>
      <c r="B80" s="58"/>
      <c r="C80" s="14"/>
      <c r="D80" s="1"/>
      <c r="E80" s="1"/>
      <c r="F80" s="4"/>
    </row>
    <row r="81" spans="1:6" ht="13.5" thickBot="1" x14ac:dyDescent="0.25">
      <c r="A81" s="2"/>
    </row>
    <row r="82" spans="1:6" x14ac:dyDescent="0.2">
      <c r="A82" s="10"/>
      <c r="B82" s="112" t="s">
        <v>27</v>
      </c>
      <c r="C82" s="113">
        <f>SUM(C83:C89)</f>
        <v>4604.46</v>
      </c>
      <c r="D82" s="1"/>
      <c r="E82" s="1"/>
    </row>
    <row r="83" spans="1:6" x14ac:dyDescent="0.2">
      <c r="A83" s="80">
        <v>44972</v>
      </c>
      <c r="B83" s="57" t="s">
        <v>118</v>
      </c>
      <c r="C83" s="69">
        <f>2652.83+1102.89+418.74</f>
        <v>4174.46</v>
      </c>
      <c r="D83" s="1"/>
      <c r="E83" s="1"/>
    </row>
    <row r="84" spans="1:6" x14ac:dyDescent="0.2">
      <c r="A84" s="80">
        <v>44964</v>
      </c>
      <c r="B84" s="57" t="s">
        <v>190</v>
      </c>
      <c r="C84" s="69">
        <f>244.4+185.6</f>
        <v>430</v>
      </c>
      <c r="D84" s="1"/>
      <c r="E84" s="1"/>
    </row>
    <row r="85" spans="1:6" x14ac:dyDescent="0.2">
      <c r="A85" s="80"/>
      <c r="B85" s="57"/>
      <c r="C85" s="69"/>
      <c r="D85" s="1"/>
      <c r="E85" s="1"/>
    </row>
    <row r="86" spans="1:6" x14ac:dyDescent="0.2">
      <c r="A86" s="80"/>
      <c r="B86" s="57"/>
      <c r="C86" s="69"/>
      <c r="D86" s="1"/>
      <c r="E86" s="1"/>
    </row>
    <row r="87" spans="1:6" x14ac:dyDescent="0.2">
      <c r="A87" s="80"/>
      <c r="B87" s="57"/>
      <c r="C87" s="69"/>
      <c r="D87" s="1"/>
      <c r="E87" s="1"/>
    </row>
    <row r="88" spans="1:6" x14ac:dyDescent="0.2">
      <c r="A88" s="80"/>
      <c r="B88" s="57"/>
      <c r="C88" s="69"/>
      <c r="D88" s="1"/>
      <c r="E88" s="1"/>
    </row>
    <row r="89" spans="1:6" ht="13.5" thickBot="1" x14ac:dyDescent="0.25">
      <c r="A89" s="59"/>
      <c r="B89" s="13"/>
      <c r="C89" s="14"/>
      <c r="D89" s="1"/>
      <c r="E89" s="1"/>
      <c r="F89" s="4"/>
    </row>
    <row r="90" spans="1:6" x14ac:dyDescent="0.2">
      <c r="A90" s="2"/>
      <c r="B90" s="7"/>
    </row>
    <row r="91" spans="1:6" ht="13.5" thickBot="1" x14ac:dyDescent="0.25">
      <c r="A91" s="9"/>
      <c r="B91" s="8"/>
      <c r="C91" s="8"/>
    </row>
    <row r="92" spans="1:6" ht="13.5" thickBot="1" x14ac:dyDescent="0.25">
      <c r="A92" s="114"/>
      <c r="B92" s="115" t="s">
        <v>29</v>
      </c>
      <c r="C92" s="116">
        <f>C93+C101+C104+C107+C116+C119+C125+C129+C133+C137+C142+C145+C150+C168+C175+C182+C187+C213</f>
        <v>341948.28</v>
      </c>
    </row>
    <row r="93" spans="1:6" x14ac:dyDescent="0.2">
      <c r="A93" s="10"/>
      <c r="B93" s="112" t="s">
        <v>26</v>
      </c>
      <c r="C93" s="113">
        <f>SUM(C94:C99)</f>
        <v>32110</v>
      </c>
    </row>
    <row r="94" spans="1:6" x14ac:dyDescent="0.2">
      <c r="A94" s="70">
        <v>44977</v>
      </c>
      <c r="B94" s="57" t="s">
        <v>120</v>
      </c>
      <c r="C94" s="69">
        <v>25288</v>
      </c>
    </row>
    <row r="95" spans="1:6" x14ac:dyDescent="0.2">
      <c r="A95" s="70">
        <v>44967</v>
      </c>
      <c r="B95" s="57" t="s">
        <v>188</v>
      </c>
      <c r="C95" s="69">
        <f>6822</f>
        <v>6822</v>
      </c>
    </row>
    <row r="96" spans="1:6" x14ac:dyDescent="0.2">
      <c r="A96" s="70"/>
      <c r="B96" s="57"/>
      <c r="C96" s="69"/>
    </row>
    <row r="97" spans="1:3" x14ac:dyDescent="0.2">
      <c r="A97" s="70"/>
      <c r="B97" s="57"/>
      <c r="C97" s="69"/>
    </row>
    <row r="98" spans="1:3" x14ac:dyDescent="0.2">
      <c r="A98" s="70"/>
      <c r="B98" s="57"/>
      <c r="C98" s="69"/>
    </row>
    <row r="99" spans="1:3" ht="13.5" thickBot="1" x14ac:dyDescent="0.25">
      <c r="A99" s="12"/>
      <c r="B99" s="13"/>
      <c r="C99" s="14"/>
    </row>
    <row r="100" spans="1:3" ht="13.5" thickBot="1" x14ac:dyDescent="0.25">
      <c r="A100" s="2"/>
      <c r="C100" s="4"/>
    </row>
    <row r="101" spans="1:3" x14ac:dyDescent="0.2">
      <c r="A101" s="10"/>
      <c r="B101" s="112" t="s">
        <v>53</v>
      </c>
      <c r="C101" s="113">
        <f>C102</f>
        <v>0</v>
      </c>
    </row>
    <row r="102" spans="1:3" ht="13.5" thickBot="1" x14ac:dyDescent="0.25">
      <c r="A102" s="59"/>
      <c r="B102" s="58"/>
      <c r="C102" s="14"/>
    </row>
    <row r="103" spans="1:3" ht="13.5" thickBot="1" x14ac:dyDescent="0.25">
      <c r="A103" s="21"/>
      <c r="B103" s="60"/>
      <c r="C103" s="29"/>
    </row>
    <row r="104" spans="1:3" x14ac:dyDescent="0.2">
      <c r="A104" s="10"/>
      <c r="B104" s="112" t="s">
        <v>51</v>
      </c>
      <c r="C104" s="113">
        <f>SUM(C105)</f>
        <v>0</v>
      </c>
    </row>
    <row r="105" spans="1:3" ht="13.5" thickBot="1" x14ac:dyDescent="0.25">
      <c r="A105" s="12"/>
      <c r="B105" s="61"/>
      <c r="C105" s="14"/>
    </row>
    <row r="106" spans="1:3" ht="13.5" thickBot="1" x14ac:dyDescent="0.25">
      <c r="A106" s="21"/>
      <c r="B106" s="60"/>
      <c r="C106" s="29"/>
    </row>
    <row r="107" spans="1:3" x14ac:dyDescent="0.2">
      <c r="A107" s="10"/>
      <c r="B107" s="112" t="s">
        <v>49</v>
      </c>
      <c r="C107" s="113">
        <f>SUM(C108:C114)</f>
        <v>0</v>
      </c>
    </row>
    <row r="108" spans="1:3" x14ac:dyDescent="0.2">
      <c r="A108" s="70"/>
      <c r="B108" s="57"/>
      <c r="C108" s="71"/>
    </row>
    <row r="109" spans="1:3" x14ac:dyDescent="0.2">
      <c r="A109" s="70"/>
      <c r="B109" s="57"/>
      <c r="C109" s="71"/>
    </row>
    <row r="110" spans="1:3" x14ac:dyDescent="0.2">
      <c r="A110" s="70"/>
      <c r="B110" s="57"/>
      <c r="C110" s="71"/>
    </row>
    <row r="111" spans="1:3" x14ac:dyDescent="0.2">
      <c r="A111" s="70"/>
      <c r="B111" s="57"/>
      <c r="C111" s="71"/>
    </row>
    <row r="112" spans="1:3" x14ac:dyDescent="0.2">
      <c r="A112" s="70"/>
      <c r="B112" s="57"/>
      <c r="C112" s="71"/>
    </row>
    <row r="113" spans="1:6" x14ac:dyDescent="0.2">
      <c r="A113" s="70"/>
      <c r="B113" s="57"/>
      <c r="C113" s="71"/>
    </row>
    <row r="114" spans="1:6" ht="13.5" thickBot="1" x14ac:dyDescent="0.25">
      <c r="A114" s="59"/>
      <c r="B114" s="58"/>
      <c r="C114" s="14"/>
      <c r="D114" s="1"/>
      <c r="E114" s="1"/>
    </row>
    <row r="115" spans="1:6" ht="13.5" thickBot="1" x14ac:dyDescent="0.25">
      <c r="A115" s="107"/>
      <c r="B115" s="57"/>
      <c r="C115" s="29"/>
      <c r="D115" s="1"/>
      <c r="E115" s="1"/>
    </row>
    <row r="116" spans="1:6" x14ac:dyDescent="0.2">
      <c r="A116" s="10"/>
      <c r="B116" s="112" t="s">
        <v>75</v>
      </c>
      <c r="C116" s="113">
        <f>C117</f>
        <v>0</v>
      </c>
      <c r="D116" s="1"/>
      <c r="E116" s="1"/>
    </row>
    <row r="117" spans="1:6" ht="13.5" thickBot="1" x14ac:dyDescent="0.25">
      <c r="A117" s="59"/>
      <c r="B117" s="58"/>
      <c r="C117" s="14"/>
      <c r="D117" s="1"/>
      <c r="E117" s="1"/>
    </row>
    <row r="118" spans="1:6" ht="13.5" thickBot="1" x14ac:dyDescent="0.25">
      <c r="A118" s="2"/>
    </row>
    <row r="119" spans="1:6" x14ac:dyDescent="0.2">
      <c r="A119" s="10"/>
      <c r="B119" s="112" t="s">
        <v>77</v>
      </c>
      <c r="C119" s="113">
        <f>SUM(C120:C123)</f>
        <v>0</v>
      </c>
    </row>
    <row r="120" spans="1:6" x14ac:dyDescent="0.2">
      <c r="A120" s="70"/>
      <c r="B120" s="57"/>
      <c r="C120" s="71"/>
    </row>
    <row r="121" spans="1:6" x14ac:dyDescent="0.2">
      <c r="A121" s="70"/>
      <c r="B121" s="57"/>
      <c r="C121" s="71"/>
    </row>
    <row r="122" spans="1:6" x14ac:dyDescent="0.2">
      <c r="A122" s="70"/>
      <c r="B122" s="57"/>
      <c r="C122" s="71"/>
    </row>
    <row r="123" spans="1:6" ht="13.5" thickBot="1" x14ac:dyDescent="0.25">
      <c r="A123" s="59"/>
      <c r="B123" s="13"/>
      <c r="C123" s="14"/>
    </row>
    <row r="124" spans="1:6" ht="13.5" thickBot="1" x14ac:dyDescent="0.25">
      <c r="A124" s="2"/>
      <c r="C124" s="1"/>
    </row>
    <row r="125" spans="1:6" x14ac:dyDescent="0.2">
      <c r="A125" s="10"/>
      <c r="B125" s="112" t="s">
        <v>78</v>
      </c>
      <c r="C125" s="113">
        <f>C126</f>
        <v>199942.59</v>
      </c>
    </row>
    <row r="126" spans="1:6" x14ac:dyDescent="0.2">
      <c r="A126" s="70">
        <v>44985</v>
      </c>
      <c r="B126" s="57" t="s">
        <v>129</v>
      </c>
      <c r="C126" s="69">
        <v>199942.59</v>
      </c>
      <c r="D126" s="1"/>
      <c r="E126" s="1"/>
      <c r="F126" s="4"/>
    </row>
    <row r="127" spans="1:6" ht="13.5" thickBot="1" x14ac:dyDescent="0.25">
      <c r="A127" s="12"/>
      <c r="B127" s="18"/>
      <c r="C127" s="14"/>
    </row>
    <row r="128" spans="1:6" ht="13.5" thickBot="1" x14ac:dyDescent="0.25">
      <c r="A128" s="2"/>
      <c r="B128" s="3"/>
      <c r="C128" s="1"/>
      <c r="D128" s="1"/>
      <c r="E128" s="1"/>
      <c r="F128" s="4"/>
    </row>
    <row r="129" spans="1:6" x14ac:dyDescent="0.2">
      <c r="A129" s="10"/>
      <c r="B129" s="112" t="s">
        <v>30</v>
      </c>
      <c r="C129" s="113">
        <f>SUM(C130:C131)</f>
        <v>0</v>
      </c>
      <c r="D129" s="1"/>
      <c r="E129" s="1"/>
      <c r="F129" s="4"/>
    </row>
    <row r="130" spans="1:6" x14ac:dyDescent="0.2">
      <c r="A130" s="70"/>
      <c r="B130" s="57"/>
      <c r="C130" s="69"/>
      <c r="D130" s="1"/>
      <c r="E130" s="1"/>
      <c r="F130" s="4"/>
    </row>
    <row r="131" spans="1:6" ht="13.5" thickBot="1" x14ac:dyDescent="0.25">
      <c r="A131" s="12"/>
      <c r="B131" s="13"/>
      <c r="C131" s="14"/>
    </row>
    <row r="132" spans="1:6" ht="13.5" thickBot="1" x14ac:dyDescent="0.25">
      <c r="A132" s="2"/>
      <c r="C132" s="4"/>
      <c r="D132" s="1"/>
      <c r="E132" s="1"/>
    </row>
    <row r="133" spans="1:6" x14ac:dyDescent="0.2">
      <c r="A133" s="10"/>
      <c r="B133" s="112" t="s">
        <v>18</v>
      </c>
      <c r="C133" s="113">
        <f>SUM(C134:C135)</f>
        <v>0</v>
      </c>
    </row>
    <row r="134" spans="1:6" x14ac:dyDescent="0.2">
      <c r="A134" s="70"/>
      <c r="B134" s="57"/>
      <c r="C134" s="69"/>
    </row>
    <row r="135" spans="1:6" ht="13.5" thickBot="1" x14ac:dyDescent="0.25">
      <c r="A135" s="59"/>
      <c r="B135" s="13"/>
      <c r="C135" s="14"/>
    </row>
    <row r="136" spans="1:6" ht="13.5" thickBot="1" x14ac:dyDescent="0.25">
      <c r="A136" s="2"/>
      <c r="C136" s="1"/>
    </row>
    <row r="137" spans="1:6" x14ac:dyDescent="0.2">
      <c r="A137" s="10"/>
      <c r="B137" s="112" t="s">
        <v>31</v>
      </c>
      <c r="C137" s="113">
        <f>SUM(C138:C140)</f>
        <v>0</v>
      </c>
    </row>
    <row r="138" spans="1:6" x14ac:dyDescent="0.2">
      <c r="A138" s="84"/>
      <c r="B138" s="57"/>
      <c r="C138" s="69"/>
    </row>
    <row r="139" spans="1:6" x14ac:dyDescent="0.2">
      <c r="A139" s="84"/>
      <c r="B139" s="57"/>
      <c r="C139" s="69"/>
    </row>
    <row r="140" spans="1:6" ht="13.5" thickBot="1" x14ac:dyDescent="0.25">
      <c r="A140" s="24"/>
      <c r="B140" s="13"/>
      <c r="C140" s="14"/>
      <c r="D140" s="1"/>
      <c r="E140" s="1"/>
      <c r="F140" s="4"/>
    </row>
    <row r="141" spans="1:6" ht="13.5" thickBot="1" x14ac:dyDescent="0.25">
      <c r="A141" s="5"/>
      <c r="C141" s="1"/>
    </row>
    <row r="142" spans="1:6" x14ac:dyDescent="0.2">
      <c r="A142" s="10"/>
      <c r="B142" s="112" t="s">
        <v>32</v>
      </c>
      <c r="C142" s="113">
        <v>0</v>
      </c>
      <c r="D142" s="1"/>
      <c r="E142" s="1"/>
    </row>
    <row r="143" spans="1:6" ht="13.5" thickBot="1" x14ac:dyDescent="0.25">
      <c r="A143" s="12"/>
      <c r="B143" s="61"/>
      <c r="C143" s="14"/>
      <c r="D143" s="1"/>
      <c r="E143" s="1"/>
    </row>
    <row r="144" spans="1:6" ht="13.5" thickBot="1" x14ac:dyDescent="0.25">
      <c r="A144" s="2"/>
      <c r="D144" s="1"/>
      <c r="E144" s="1"/>
      <c r="F144" s="4"/>
    </row>
    <row r="145" spans="1:6" x14ac:dyDescent="0.2">
      <c r="A145" s="10"/>
      <c r="B145" s="112" t="s">
        <v>33</v>
      </c>
      <c r="C145" s="113">
        <f>SUM(C146:C148)</f>
        <v>0</v>
      </c>
      <c r="D145" s="1"/>
      <c r="E145" s="1"/>
      <c r="F145" s="4"/>
    </row>
    <row r="146" spans="1:6" x14ac:dyDescent="0.2">
      <c r="A146" s="70"/>
      <c r="B146" s="110"/>
      <c r="C146" s="109"/>
      <c r="D146" s="1"/>
      <c r="E146" s="1"/>
      <c r="F146" s="4"/>
    </row>
    <row r="147" spans="1:6" x14ac:dyDescent="0.2">
      <c r="A147" s="70"/>
      <c r="B147" s="110"/>
      <c r="C147" s="109"/>
      <c r="D147" s="1"/>
      <c r="E147" s="1"/>
      <c r="F147" s="4"/>
    </row>
    <row r="148" spans="1:6" ht="13.5" thickBot="1" x14ac:dyDescent="0.25">
      <c r="A148" s="59"/>
      <c r="B148" s="58"/>
      <c r="C148" s="14"/>
    </row>
    <row r="149" spans="1:6" ht="13.5" thickBot="1" x14ac:dyDescent="0.25">
      <c r="A149" s="2"/>
    </row>
    <row r="150" spans="1:6" x14ac:dyDescent="0.2">
      <c r="A150" s="10"/>
      <c r="B150" s="112" t="s">
        <v>34</v>
      </c>
      <c r="C150" s="113">
        <f>SUM(C151:C166)</f>
        <v>1145.77</v>
      </c>
    </row>
    <row r="151" spans="1:6" x14ac:dyDescent="0.2">
      <c r="A151" s="79">
        <v>44970</v>
      </c>
      <c r="B151" s="57" t="s">
        <v>194</v>
      </c>
      <c r="C151" s="71">
        <v>1145.77</v>
      </c>
    </row>
    <row r="152" spans="1:6" x14ac:dyDescent="0.2">
      <c r="A152" s="79"/>
      <c r="B152" s="57"/>
      <c r="C152" s="71"/>
    </row>
    <row r="153" spans="1:6" x14ac:dyDescent="0.2">
      <c r="A153" s="79"/>
      <c r="B153" s="57"/>
      <c r="C153" s="71"/>
    </row>
    <row r="154" spans="1:6" x14ac:dyDescent="0.2">
      <c r="A154" s="79"/>
      <c r="B154" s="57"/>
      <c r="C154" s="71"/>
    </row>
    <row r="155" spans="1:6" x14ac:dyDescent="0.2">
      <c r="A155" s="79"/>
      <c r="B155" s="57"/>
      <c r="C155" s="71"/>
    </row>
    <row r="156" spans="1:6" x14ac:dyDescent="0.2">
      <c r="A156" s="79"/>
      <c r="B156" s="57"/>
      <c r="C156" s="71"/>
    </row>
    <row r="157" spans="1:6" x14ac:dyDescent="0.2">
      <c r="A157" s="79"/>
      <c r="B157" s="57"/>
      <c r="C157" s="71"/>
    </row>
    <row r="158" spans="1:6" x14ac:dyDescent="0.2">
      <c r="A158" s="79"/>
      <c r="B158" s="57"/>
      <c r="C158" s="71"/>
    </row>
    <row r="159" spans="1:6" x14ac:dyDescent="0.2">
      <c r="A159" s="79"/>
      <c r="B159" s="57"/>
      <c r="C159" s="71"/>
    </row>
    <row r="160" spans="1:6" x14ac:dyDescent="0.2">
      <c r="A160" s="79"/>
      <c r="B160" s="57"/>
      <c r="C160" s="71"/>
    </row>
    <row r="161" spans="1:5" x14ac:dyDescent="0.2">
      <c r="A161" s="79"/>
      <c r="B161" s="57"/>
      <c r="C161" s="71"/>
    </row>
    <row r="162" spans="1:5" x14ac:dyDescent="0.2">
      <c r="A162" s="79"/>
      <c r="B162" s="57"/>
      <c r="C162" s="71"/>
    </row>
    <row r="163" spans="1:5" x14ac:dyDescent="0.2">
      <c r="A163" s="79"/>
      <c r="B163" s="57"/>
      <c r="C163" s="71"/>
    </row>
    <row r="164" spans="1:5" x14ac:dyDescent="0.2">
      <c r="A164" s="70"/>
      <c r="B164" s="57"/>
      <c r="C164" s="69"/>
    </row>
    <row r="165" spans="1:5" x14ac:dyDescent="0.2">
      <c r="A165" s="70"/>
      <c r="B165" s="91"/>
      <c r="C165" s="69"/>
    </row>
    <row r="166" spans="1:5" ht="13.5" thickBot="1" x14ac:dyDescent="0.25">
      <c r="A166" s="59"/>
      <c r="B166" s="13"/>
      <c r="C166" s="14"/>
    </row>
    <row r="167" spans="1:5" ht="13.5" thickBot="1" x14ac:dyDescent="0.25">
      <c r="A167" s="2"/>
      <c r="C167" s="1"/>
      <c r="D167" s="1"/>
      <c r="E167" s="1"/>
    </row>
    <row r="168" spans="1:5" x14ac:dyDescent="0.2">
      <c r="A168" s="10"/>
      <c r="B168" s="112" t="s">
        <v>35</v>
      </c>
      <c r="C168" s="113">
        <f>SUM(C169:C173)</f>
        <v>3586.72</v>
      </c>
      <c r="D168" s="1"/>
      <c r="E168" s="1"/>
    </row>
    <row r="169" spans="1:5" x14ac:dyDescent="0.2">
      <c r="A169" s="70">
        <v>44980</v>
      </c>
      <c r="B169" s="57" t="s">
        <v>201</v>
      </c>
      <c r="C169" s="71">
        <v>1485.12</v>
      </c>
      <c r="D169" s="1"/>
      <c r="E169" s="1"/>
    </row>
    <row r="170" spans="1:5" x14ac:dyDescent="0.2">
      <c r="A170" s="70">
        <v>44980</v>
      </c>
      <c r="B170" s="57" t="s">
        <v>202</v>
      </c>
      <c r="C170" s="71">
        <v>1101.5999999999999</v>
      </c>
      <c r="D170" s="1"/>
      <c r="E170" s="1"/>
    </row>
    <row r="171" spans="1:5" x14ac:dyDescent="0.2">
      <c r="A171" s="70">
        <v>44970</v>
      </c>
      <c r="B171" s="57" t="s">
        <v>203</v>
      </c>
      <c r="C171" s="71">
        <v>1000</v>
      </c>
      <c r="D171" s="1"/>
      <c r="E171" s="1"/>
    </row>
    <row r="172" spans="1:5" x14ac:dyDescent="0.2">
      <c r="A172" s="82"/>
      <c r="B172" s="60"/>
      <c r="C172" s="71"/>
      <c r="D172" s="1"/>
      <c r="E172" s="1"/>
    </row>
    <row r="173" spans="1:5" ht="13.5" thickBot="1" x14ac:dyDescent="0.25">
      <c r="A173" s="59"/>
      <c r="B173" s="13"/>
      <c r="C173" s="14"/>
      <c r="D173" s="1"/>
      <c r="E173" s="1"/>
    </row>
    <row r="174" spans="1:5" ht="13.5" thickBot="1" x14ac:dyDescent="0.25">
      <c r="A174" s="2"/>
      <c r="C174" s="1"/>
      <c r="D174" s="1"/>
      <c r="E174" s="1"/>
    </row>
    <row r="175" spans="1:5" x14ac:dyDescent="0.2">
      <c r="A175" s="10"/>
      <c r="B175" s="112" t="s">
        <v>37</v>
      </c>
      <c r="C175" s="113">
        <f>SUM(C176:C180)</f>
        <v>4698</v>
      </c>
      <c r="D175" s="1"/>
      <c r="E175" s="1"/>
    </row>
    <row r="176" spans="1:5" x14ac:dyDescent="0.2">
      <c r="A176" s="70">
        <v>44960</v>
      </c>
      <c r="B176" s="57" t="s">
        <v>93</v>
      </c>
      <c r="C176" s="71">
        <v>4698</v>
      </c>
      <c r="D176" s="1"/>
      <c r="E176" s="1"/>
    </row>
    <row r="177" spans="1:5" x14ac:dyDescent="0.2">
      <c r="A177" s="70"/>
      <c r="B177" s="57"/>
      <c r="C177" s="71"/>
      <c r="D177" s="1"/>
      <c r="E177" s="1"/>
    </row>
    <row r="178" spans="1:5" x14ac:dyDescent="0.2">
      <c r="A178" s="70"/>
      <c r="B178" s="57"/>
      <c r="C178" s="71"/>
      <c r="D178" s="1"/>
      <c r="E178" s="1"/>
    </row>
    <row r="179" spans="1:5" x14ac:dyDescent="0.2">
      <c r="A179" s="70"/>
      <c r="B179" s="57"/>
      <c r="C179" s="71"/>
      <c r="D179" s="1"/>
      <c r="E179" s="1"/>
    </row>
    <row r="180" spans="1:5" ht="13.5" thickBot="1" x14ac:dyDescent="0.25">
      <c r="A180" s="59"/>
      <c r="B180" s="18"/>
      <c r="C180" s="14"/>
      <c r="D180" s="1"/>
      <c r="E180" s="1"/>
    </row>
    <row r="181" spans="1:5" ht="13.5" thickBot="1" x14ac:dyDescent="0.25">
      <c r="A181" s="21"/>
      <c r="B181" s="11"/>
      <c r="C181" s="29"/>
    </row>
    <row r="182" spans="1:5" x14ac:dyDescent="0.2">
      <c r="A182" s="10"/>
      <c r="B182" s="112" t="s">
        <v>54</v>
      </c>
      <c r="C182" s="113">
        <f>SUM(C183:C185)</f>
        <v>18699.2</v>
      </c>
      <c r="D182" s="1"/>
      <c r="E182" s="1"/>
    </row>
    <row r="183" spans="1:5" x14ac:dyDescent="0.2">
      <c r="A183" s="70">
        <v>44970</v>
      </c>
      <c r="B183" s="78" t="s">
        <v>119</v>
      </c>
      <c r="C183" s="69">
        <v>18699.2</v>
      </c>
      <c r="D183" s="1"/>
      <c r="E183" s="1"/>
    </row>
    <row r="184" spans="1:5" x14ac:dyDescent="0.2">
      <c r="A184" s="70"/>
      <c r="B184" s="57"/>
      <c r="C184" s="69"/>
      <c r="D184" s="1"/>
      <c r="E184" s="1"/>
    </row>
    <row r="185" spans="1:5" ht="13.5" thickBot="1" x14ac:dyDescent="0.25">
      <c r="A185" s="12"/>
      <c r="B185" s="61"/>
      <c r="C185" s="14"/>
      <c r="D185" s="1"/>
      <c r="E185" s="1"/>
    </row>
    <row r="186" spans="1:5" ht="13.5" thickBot="1" x14ac:dyDescent="0.25">
      <c r="A186" s="26"/>
      <c r="B186" s="57"/>
      <c r="C186" s="29"/>
      <c r="D186" s="1"/>
      <c r="E186" s="1"/>
    </row>
    <row r="187" spans="1:5" x14ac:dyDescent="0.2">
      <c r="A187" s="23"/>
      <c r="B187" s="112" t="s">
        <v>38</v>
      </c>
      <c r="C187" s="113">
        <f>SUM(C188:C211)</f>
        <v>81766</v>
      </c>
      <c r="D187" s="1"/>
      <c r="E187" s="1"/>
    </row>
    <row r="188" spans="1:5" x14ac:dyDescent="0.2">
      <c r="A188" s="96" t="s">
        <v>96</v>
      </c>
      <c r="B188" s="57" t="s">
        <v>97</v>
      </c>
      <c r="C188" s="69">
        <v>300</v>
      </c>
      <c r="D188" s="1"/>
      <c r="E188" s="1"/>
    </row>
    <row r="189" spans="1:5" x14ac:dyDescent="0.2">
      <c r="A189" s="73" t="s">
        <v>96</v>
      </c>
      <c r="B189" s="57" t="s">
        <v>98</v>
      </c>
      <c r="C189" s="69">
        <v>300</v>
      </c>
      <c r="D189" s="1"/>
      <c r="E189" s="1"/>
    </row>
    <row r="190" spans="1:5" x14ac:dyDescent="0.2">
      <c r="A190" s="73" t="s">
        <v>96</v>
      </c>
      <c r="B190" s="57" t="s">
        <v>99</v>
      </c>
      <c r="C190" s="69">
        <v>300</v>
      </c>
      <c r="D190" s="1"/>
      <c r="E190" s="1"/>
    </row>
    <row r="191" spans="1:5" x14ac:dyDescent="0.2">
      <c r="A191" s="73" t="s">
        <v>100</v>
      </c>
      <c r="B191" s="57" t="s">
        <v>101</v>
      </c>
      <c r="C191" s="69">
        <v>3106</v>
      </c>
      <c r="D191" s="1"/>
      <c r="E191" s="1"/>
    </row>
    <row r="192" spans="1:5" x14ac:dyDescent="0.2">
      <c r="A192" s="73" t="s">
        <v>100</v>
      </c>
      <c r="B192" s="57" t="s">
        <v>102</v>
      </c>
      <c r="C192" s="69">
        <f>513+950</f>
        <v>1463</v>
      </c>
      <c r="D192" s="1"/>
      <c r="E192" s="1"/>
    </row>
    <row r="193" spans="1:5" x14ac:dyDescent="0.2">
      <c r="A193" s="73" t="s">
        <v>100</v>
      </c>
      <c r="B193" s="57" t="s">
        <v>103</v>
      </c>
      <c r="C193" s="69">
        <v>3106</v>
      </c>
      <c r="D193" s="1"/>
      <c r="E193" s="1"/>
    </row>
    <row r="194" spans="1:5" x14ac:dyDescent="0.2">
      <c r="A194" s="73" t="s">
        <v>100</v>
      </c>
      <c r="B194" s="57" t="s">
        <v>104</v>
      </c>
      <c r="C194" s="69">
        <f>513+550</f>
        <v>1063</v>
      </c>
      <c r="D194" s="1"/>
      <c r="E194" s="1"/>
    </row>
    <row r="195" spans="1:5" x14ac:dyDescent="0.2">
      <c r="A195" s="73" t="s">
        <v>100</v>
      </c>
      <c r="B195" s="57" t="s">
        <v>105</v>
      </c>
      <c r="C195" s="69">
        <v>3106</v>
      </c>
      <c r="D195" s="1"/>
      <c r="E195" s="1"/>
    </row>
    <row r="196" spans="1:5" x14ac:dyDescent="0.2">
      <c r="A196" s="73" t="s">
        <v>100</v>
      </c>
      <c r="B196" s="57" t="s">
        <v>106</v>
      </c>
      <c r="C196" s="69">
        <f>513+550</f>
        <v>1063</v>
      </c>
      <c r="D196" s="1"/>
      <c r="E196" s="1"/>
    </row>
    <row r="197" spans="1:5" x14ac:dyDescent="0.2">
      <c r="A197" s="73" t="s">
        <v>107</v>
      </c>
      <c r="B197" s="57" t="s">
        <v>108</v>
      </c>
      <c r="C197" s="69">
        <v>300</v>
      </c>
      <c r="D197" s="1"/>
      <c r="E197" s="1"/>
    </row>
    <row r="198" spans="1:5" x14ac:dyDescent="0.2">
      <c r="A198" s="73" t="s">
        <v>107</v>
      </c>
      <c r="B198" s="57" t="s">
        <v>109</v>
      </c>
      <c r="C198" s="69">
        <v>300</v>
      </c>
      <c r="D198" s="1"/>
      <c r="E198" s="1"/>
    </row>
    <row r="199" spans="1:5" x14ac:dyDescent="0.2">
      <c r="A199" s="73" t="s">
        <v>110</v>
      </c>
      <c r="B199" s="57" t="s">
        <v>111</v>
      </c>
      <c r="C199" s="69">
        <v>3102</v>
      </c>
      <c r="D199" s="1"/>
      <c r="E199" s="1"/>
    </row>
    <row r="200" spans="1:5" x14ac:dyDescent="0.2">
      <c r="A200" s="73" t="s">
        <v>110</v>
      </c>
      <c r="B200" s="57" t="s">
        <v>112</v>
      </c>
      <c r="C200" s="69">
        <f>950+513</f>
        <v>1463</v>
      </c>
      <c r="D200" s="1"/>
      <c r="E200" s="1"/>
    </row>
    <row r="201" spans="1:5" x14ac:dyDescent="0.2">
      <c r="A201" s="73" t="s">
        <v>110</v>
      </c>
      <c r="B201" s="57" t="s">
        <v>113</v>
      </c>
      <c r="C201" s="69">
        <v>3102</v>
      </c>
      <c r="D201" s="1"/>
      <c r="E201" s="1"/>
    </row>
    <row r="202" spans="1:5" x14ac:dyDescent="0.2">
      <c r="A202" s="73" t="s">
        <v>110</v>
      </c>
      <c r="B202" s="57" t="s">
        <v>114</v>
      </c>
      <c r="C202" s="69">
        <f>513+550</f>
        <v>1063</v>
      </c>
      <c r="D202" s="1"/>
      <c r="E202" s="1"/>
    </row>
    <row r="203" spans="1:5" x14ac:dyDescent="0.2">
      <c r="A203" s="73" t="s">
        <v>110</v>
      </c>
      <c r="B203" s="57" t="s">
        <v>115</v>
      </c>
      <c r="C203" s="69">
        <v>3672</v>
      </c>
      <c r="D203" s="1"/>
      <c r="E203" s="1"/>
    </row>
    <row r="204" spans="1:5" x14ac:dyDescent="0.2">
      <c r="A204" s="73" t="s">
        <v>110</v>
      </c>
      <c r="B204" s="57" t="s">
        <v>116</v>
      </c>
      <c r="C204" s="69">
        <f>513+550</f>
        <v>1063</v>
      </c>
      <c r="D204" s="1"/>
      <c r="E204" s="1"/>
    </row>
    <row r="205" spans="1:5" x14ac:dyDescent="0.2">
      <c r="A205" s="73" t="s">
        <v>121</v>
      </c>
      <c r="B205" s="57" t="s">
        <v>122</v>
      </c>
      <c r="C205" s="69">
        <v>300</v>
      </c>
      <c r="D205" s="1"/>
      <c r="E205" s="1"/>
    </row>
    <row r="206" spans="1:5" x14ac:dyDescent="0.2">
      <c r="A206" s="73" t="s">
        <v>121</v>
      </c>
      <c r="B206" s="57" t="s">
        <v>123</v>
      </c>
      <c r="C206" s="69">
        <v>300</v>
      </c>
      <c r="D206" s="1"/>
      <c r="E206" s="1"/>
    </row>
    <row r="207" spans="1:5" x14ac:dyDescent="0.2">
      <c r="A207" s="73" t="s">
        <v>125</v>
      </c>
      <c r="B207" s="57" t="s">
        <v>124</v>
      </c>
      <c r="C207" s="69">
        <v>10344</v>
      </c>
      <c r="D207" s="1"/>
      <c r="E207" s="1"/>
    </row>
    <row r="208" spans="1:5" x14ac:dyDescent="0.2">
      <c r="A208" s="73" t="s">
        <v>125</v>
      </c>
      <c r="B208" s="57" t="s">
        <v>126</v>
      </c>
      <c r="C208" s="69">
        <v>42950</v>
      </c>
      <c r="D208" s="1"/>
      <c r="E208" s="1"/>
    </row>
    <row r="209" spans="1:6" x14ac:dyDescent="0.2">
      <c r="A209" s="73"/>
      <c r="B209" s="57"/>
      <c r="C209" s="69"/>
      <c r="D209" s="1"/>
      <c r="E209" s="1"/>
      <c r="F209" s="4"/>
    </row>
    <row r="210" spans="1:6" x14ac:dyDescent="0.2">
      <c r="A210" s="73"/>
      <c r="B210" s="57"/>
      <c r="C210" s="69"/>
      <c r="D210" s="1"/>
      <c r="E210" s="1"/>
      <c r="F210" s="4"/>
    </row>
    <row r="211" spans="1:6" ht="13.5" thickBot="1" x14ac:dyDescent="0.25">
      <c r="A211" s="24"/>
      <c r="B211" s="58"/>
      <c r="C211" s="14"/>
      <c r="D211" s="1"/>
      <c r="E211" s="1"/>
    </row>
    <row r="212" spans="1:6" ht="13.5" thickBot="1" x14ac:dyDescent="0.25">
      <c r="A212" s="26"/>
      <c r="B212" s="57"/>
      <c r="C212" s="29"/>
      <c r="D212" s="1"/>
      <c r="E212" s="1"/>
    </row>
    <row r="213" spans="1:6" x14ac:dyDescent="0.2">
      <c r="A213" s="10"/>
      <c r="B213" s="112" t="s">
        <v>27</v>
      </c>
      <c r="C213" s="113">
        <f>SUM(C214:C221)</f>
        <v>0</v>
      </c>
      <c r="D213" s="1"/>
      <c r="E213" s="1"/>
    </row>
    <row r="214" spans="1:6" x14ac:dyDescent="0.2">
      <c r="A214" s="70"/>
      <c r="B214" s="57"/>
      <c r="C214" s="69"/>
      <c r="D214" s="1"/>
      <c r="E214" s="1"/>
    </row>
    <row r="215" spans="1:6" x14ac:dyDescent="0.2">
      <c r="A215" s="70"/>
      <c r="B215" s="57"/>
      <c r="C215" s="69"/>
      <c r="D215" s="1"/>
      <c r="E215" s="1"/>
    </row>
    <row r="216" spans="1:6" x14ac:dyDescent="0.2">
      <c r="A216" s="70"/>
      <c r="B216" s="57"/>
      <c r="C216" s="69"/>
      <c r="D216" s="1"/>
      <c r="E216" s="1"/>
    </row>
    <row r="217" spans="1:6" x14ac:dyDescent="0.2">
      <c r="A217" s="70"/>
      <c r="B217" s="57"/>
      <c r="C217" s="69"/>
      <c r="D217" s="1"/>
      <c r="E217" s="1"/>
    </row>
    <row r="218" spans="1:6" x14ac:dyDescent="0.2">
      <c r="A218" s="70"/>
      <c r="B218" s="57"/>
      <c r="C218" s="69"/>
      <c r="D218" s="1"/>
      <c r="E218" s="1"/>
      <c r="F218" s="4"/>
    </row>
    <row r="219" spans="1:6" x14ac:dyDescent="0.2">
      <c r="A219" s="70"/>
      <c r="B219" s="91"/>
      <c r="C219" s="69"/>
      <c r="D219" s="1"/>
      <c r="E219" s="1"/>
      <c r="F219" s="4"/>
    </row>
    <row r="220" spans="1:6" x14ac:dyDescent="0.2">
      <c r="A220" s="70"/>
      <c r="B220" s="91"/>
      <c r="C220" s="69"/>
      <c r="D220" s="1"/>
      <c r="E220" s="1"/>
      <c r="F220" s="4"/>
    </row>
    <row r="221" spans="1:6" x14ac:dyDescent="0.2">
      <c r="A221" s="70"/>
      <c r="B221" s="91"/>
      <c r="C221" s="69"/>
      <c r="D221" s="1"/>
      <c r="E221" s="1"/>
      <c r="F221" s="4"/>
    </row>
    <row r="222" spans="1:6" ht="13.5" thickBot="1" x14ac:dyDescent="0.25">
      <c r="A222" s="59"/>
      <c r="B222" s="13"/>
      <c r="C222" s="14"/>
      <c r="D222" s="1"/>
      <c r="E222" s="1"/>
    </row>
    <row r="223" spans="1:6" x14ac:dyDescent="0.2">
      <c r="A223" s="2"/>
    </row>
    <row r="224" spans="1:6" ht="13.5" thickBot="1" x14ac:dyDescent="0.25">
      <c r="A224" s="28"/>
      <c r="B224" s="8"/>
      <c r="C224" s="8"/>
    </row>
    <row r="225" spans="1:3" ht="13.5" thickBot="1" x14ac:dyDescent="0.25">
      <c r="A225" s="117"/>
      <c r="B225" s="115" t="s">
        <v>0</v>
      </c>
      <c r="C225" s="116">
        <f>SUM(C226:C226)</f>
        <v>0</v>
      </c>
    </row>
    <row r="226" spans="1:3" ht="13.5" thickBot="1" x14ac:dyDescent="0.25">
      <c r="A226" s="27"/>
      <c r="B226" s="63"/>
      <c r="C226" s="64"/>
    </row>
    <row r="227" spans="1:3" x14ac:dyDescent="0.2">
      <c r="A227" s="25"/>
    </row>
    <row r="228" spans="1:3" x14ac:dyDescent="0.2">
      <c r="A228" s="25"/>
    </row>
    <row r="229" spans="1:3" x14ac:dyDescent="0.2">
      <c r="A229" s="25"/>
    </row>
    <row r="230" spans="1:3" x14ac:dyDescent="0.2">
      <c r="A230" s="25"/>
    </row>
    <row r="231" spans="1:3" x14ac:dyDescent="0.2">
      <c r="A231" s="25"/>
    </row>
    <row r="232" spans="1:3" x14ac:dyDescent="0.2">
      <c r="A232" s="25"/>
    </row>
    <row r="233" spans="1:3" x14ac:dyDescent="0.2">
      <c r="A233" s="25"/>
    </row>
    <row r="234" spans="1:3" x14ac:dyDescent="0.2">
      <c r="A234" s="25"/>
    </row>
  </sheetData>
  <mergeCells count="1">
    <mergeCell ref="A2:B2"/>
  </mergeCells>
  <phoneticPr fontId="1" type="noConversion"/>
  <pageMargins left="0.75" right="0.75" top="1" bottom="1" header="0.5" footer="0.5"/>
  <pageSetup scale="76" fitToHeight="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221"/>
  <sheetViews>
    <sheetView topLeftCell="A41" workbookViewId="0">
      <selection activeCell="B54" sqref="B54"/>
    </sheetView>
  </sheetViews>
  <sheetFormatPr defaultRowHeight="12.75" x14ac:dyDescent="0.2"/>
  <cols>
    <col min="1" max="1" width="9.5703125" style="22" bestFit="1" customWidth="1"/>
    <col min="2" max="2" width="84.28515625" customWidth="1"/>
    <col min="3" max="3" width="18.42578125" customWidth="1"/>
    <col min="5" max="5" width="10.140625" bestFit="1" customWidth="1"/>
  </cols>
  <sheetData>
    <row r="1" spans="1:6" ht="13.5" thickBot="1" x14ac:dyDescent="0.25">
      <c r="A1"/>
    </row>
    <row r="2" spans="1:6" ht="13.5" thickBot="1" x14ac:dyDescent="0.25">
      <c r="A2" s="147" t="s">
        <v>65</v>
      </c>
      <c r="B2" s="148"/>
      <c r="C2" s="20">
        <f>C4+C87</f>
        <v>827814.76</v>
      </c>
      <c r="D2" s="6"/>
      <c r="E2" s="6"/>
      <c r="F2" s="6"/>
    </row>
    <row r="3" spans="1:6" ht="13.5" thickBot="1" x14ac:dyDescent="0.25">
      <c r="A3" s="16" t="s">
        <v>20</v>
      </c>
      <c r="B3" s="15" t="s">
        <v>21</v>
      </c>
      <c r="C3" s="17" t="s">
        <v>22</v>
      </c>
    </row>
    <row r="4" spans="1:6" ht="13.5" thickBot="1" x14ac:dyDescent="0.25">
      <c r="A4" s="114"/>
      <c r="B4" s="115" t="s">
        <v>23</v>
      </c>
      <c r="C4" s="116">
        <f>C5+C10+C19+C24+C28+C37+C45+C52+C60+C66+C70+C75+C80</f>
        <v>41356.300000000003</v>
      </c>
    </row>
    <row r="5" spans="1:6" x14ac:dyDescent="0.2">
      <c r="A5" s="10"/>
      <c r="B5" s="112" t="s">
        <v>36</v>
      </c>
      <c r="C5" s="113">
        <f>SUM(C6:C8)</f>
        <v>0</v>
      </c>
    </row>
    <row r="6" spans="1:6" x14ac:dyDescent="0.2">
      <c r="A6" s="84"/>
      <c r="B6" s="57"/>
      <c r="C6" s="69"/>
    </row>
    <row r="7" spans="1:6" x14ac:dyDescent="0.2">
      <c r="A7" s="84"/>
      <c r="B7" s="57"/>
      <c r="C7" s="69"/>
    </row>
    <row r="8" spans="1:6" ht="13.5" thickBot="1" x14ac:dyDescent="0.25">
      <c r="A8" s="88"/>
      <c r="B8" s="18"/>
      <c r="C8" s="83"/>
      <c r="D8" s="1"/>
      <c r="E8" s="1"/>
    </row>
    <row r="9" spans="1:6" ht="13.5" thickBot="1" x14ac:dyDescent="0.25">
      <c r="A9" s="21"/>
      <c r="B9" s="11"/>
      <c r="C9" s="29"/>
      <c r="D9" s="1"/>
      <c r="E9" s="1"/>
    </row>
    <row r="10" spans="1:6" x14ac:dyDescent="0.2">
      <c r="A10" s="10"/>
      <c r="B10" s="112" t="s">
        <v>47</v>
      </c>
      <c r="C10" s="113">
        <f>SUM(C11:C17)</f>
        <v>0</v>
      </c>
      <c r="D10" s="1"/>
      <c r="E10" s="1"/>
    </row>
    <row r="11" spans="1:6" x14ac:dyDescent="0.2">
      <c r="A11" s="70"/>
      <c r="B11" s="57"/>
      <c r="C11" s="69"/>
      <c r="D11" s="1"/>
      <c r="E11" s="1"/>
    </row>
    <row r="12" spans="1:6" x14ac:dyDescent="0.2">
      <c r="A12" s="70"/>
      <c r="B12" s="57"/>
      <c r="C12" s="69"/>
      <c r="D12" s="1"/>
      <c r="E12" s="1"/>
    </row>
    <row r="13" spans="1:6" x14ac:dyDescent="0.2">
      <c r="A13" s="70"/>
      <c r="B13" s="57"/>
      <c r="C13" s="69"/>
      <c r="D13" s="1"/>
      <c r="E13" s="1"/>
    </row>
    <row r="14" spans="1:6" x14ac:dyDescent="0.2">
      <c r="A14" s="70"/>
      <c r="B14" s="57"/>
      <c r="C14" s="69"/>
      <c r="D14" s="1"/>
      <c r="E14" s="1"/>
    </row>
    <row r="15" spans="1:6" x14ac:dyDescent="0.2">
      <c r="A15" s="70"/>
      <c r="B15" s="57"/>
      <c r="C15" s="69" t="s">
        <v>59</v>
      </c>
      <c r="D15" s="1"/>
      <c r="E15" s="1"/>
    </row>
    <row r="16" spans="1:6" x14ac:dyDescent="0.2">
      <c r="A16" s="70"/>
      <c r="B16" s="57"/>
      <c r="C16" s="69"/>
      <c r="D16" s="1"/>
      <c r="E16" s="1"/>
    </row>
    <row r="17" spans="1:5" ht="13.5" thickBot="1" x14ac:dyDescent="0.25">
      <c r="A17" s="59"/>
      <c r="B17" s="13"/>
      <c r="C17" s="14"/>
      <c r="D17" s="1"/>
      <c r="E17" s="1"/>
    </row>
    <row r="18" spans="1:5" ht="13.5" thickBot="1" x14ac:dyDescent="0.25">
      <c r="A18" s="107"/>
      <c r="B18" s="11"/>
      <c r="C18" s="29"/>
      <c r="D18" s="1"/>
      <c r="E18" s="1"/>
    </row>
    <row r="19" spans="1:5" x14ac:dyDescent="0.2">
      <c r="A19" s="10"/>
      <c r="B19" s="112" t="s">
        <v>48</v>
      </c>
      <c r="C19" s="113">
        <f>SUM(C20:C22)</f>
        <v>2128.0300000000002</v>
      </c>
      <c r="D19" s="1"/>
      <c r="E19" s="1"/>
    </row>
    <row r="20" spans="1:5" x14ac:dyDescent="0.2">
      <c r="A20" s="70">
        <v>45012</v>
      </c>
      <c r="B20" s="57" t="s">
        <v>170</v>
      </c>
      <c r="C20" s="71">
        <v>2128.0300000000002</v>
      </c>
      <c r="D20" s="1"/>
      <c r="E20" s="1"/>
    </row>
    <row r="21" spans="1:5" x14ac:dyDescent="0.2">
      <c r="A21" s="70"/>
      <c r="B21" s="57"/>
      <c r="C21" s="71"/>
      <c r="D21" s="1"/>
      <c r="E21" s="1"/>
    </row>
    <row r="22" spans="1:5" ht="13.5" thickBot="1" x14ac:dyDescent="0.25">
      <c r="A22" s="59"/>
      <c r="B22" s="18"/>
      <c r="C22" s="14"/>
      <c r="D22" s="1"/>
      <c r="E22" s="1"/>
    </row>
    <row r="23" spans="1:5" ht="13.5" thickBot="1" x14ac:dyDescent="0.25">
      <c r="A23" s="107"/>
      <c r="B23" s="11"/>
      <c r="C23" s="29"/>
      <c r="D23" s="1"/>
      <c r="E23" s="1"/>
    </row>
    <row r="24" spans="1:5" x14ac:dyDescent="0.2">
      <c r="A24" s="10"/>
      <c r="B24" s="112" t="s">
        <v>24</v>
      </c>
      <c r="C24" s="113">
        <f>SUM(C25:C26)</f>
        <v>0</v>
      </c>
      <c r="D24" s="1"/>
      <c r="E24" s="1"/>
    </row>
    <row r="25" spans="1:5" x14ac:dyDescent="0.2">
      <c r="A25" s="70"/>
      <c r="B25" s="57"/>
      <c r="C25" s="71"/>
      <c r="D25" s="1"/>
      <c r="E25" s="1"/>
    </row>
    <row r="26" spans="1:5" ht="13.5" thickBot="1" x14ac:dyDescent="0.25">
      <c r="A26" s="59"/>
      <c r="B26" s="13"/>
      <c r="C26" s="14"/>
      <c r="D26" s="1"/>
      <c r="E26" s="1"/>
    </row>
    <row r="27" spans="1:5" ht="13.5" thickBot="1" x14ac:dyDescent="0.25">
      <c r="A27" s="2"/>
      <c r="C27" s="4"/>
      <c r="D27" s="1"/>
      <c r="E27" s="1"/>
    </row>
    <row r="28" spans="1:5" x14ac:dyDescent="0.2">
      <c r="A28" s="10"/>
      <c r="B28" s="112" t="s">
        <v>25</v>
      </c>
      <c r="C28" s="113">
        <f>SUM(C29:C35)</f>
        <v>21315</v>
      </c>
      <c r="D28" s="1"/>
      <c r="E28" s="1"/>
    </row>
    <row r="29" spans="1:5" x14ac:dyDescent="0.2">
      <c r="A29" s="70">
        <v>45009</v>
      </c>
      <c r="B29" s="57" t="s">
        <v>161</v>
      </c>
      <c r="C29" s="69">
        <v>21315</v>
      </c>
      <c r="D29" s="1"/>
      <c r="E29" s="1"/>
    </row>
    <row r="30" spans="1:5" x14ac:dyDescent="0.2">
      <c r="A30" s="70"/>
      <c r="B30" s="142"/>
      <c r="C30" s="69"/>
      <c r="D30" s="1"/>
      <c r="E30" s="1"/>
    </row>
    <row r="31" spans="1:5" x14ac:dyDescent="0.2">
      <c r="A31" s="70"/>
      <c r="B31" s="57"/>
      <c r="C31" s="69"/>
      <c r="D31" s="1"/>
      <c r="E31" s="1"/>
    </row>
    <row r="32" spans="1:5" x14ac:dyDescent="0.2">
      <c r="A32" s="70"/>
      <c r="B32" s="57"/>
      <c r="C32" s="69"/>
      <c r="D32" s="1"/>
      <c r="E32" s="1"/>
    </row>
    <row r="33" spans="1:6" x14ac:dyDescent="0.2">
      <c r="A33" s="70"/>
      <c r="B33" s="57"/>
      <c r="C33" s="69"/>
      <c r="D33" s="1"/>
      <c r="E33" s="1"/>
    </row>
    <row r="34" spans="1:6" x14ac:dyDescent="0.2">
      <c r="A34" s="70"/>
      <c r="B34" s="57"/>
      <c r="C34" s="69"/>
      <c r="D34" s="1"/>
      <c r="E34" s="1"/>
    </row>
    <row r="35" spans="1:6" ht="13.5" thickBot="1" x14ac:dyDescent="0.25">
      <c r="A35" s="59"/>
      <c r="B35" s="13"/>
      <c r="C35" s="14"/>
      <c r="D35" s="1"/>
      <c r="E35" s="1"/>
    </row>
    <row r="36" spans="1:6" ht="13.5" thickBot="1" x14ac:dyDescent="0.25">
      <c r="A36" s="2"/>
      <c r="C36" s="4"/>
      <c r="D36" s="1"/>
      <c r="E36" s="1"/>
    </row>
    <row r="37" spans="1:6" x14ac:dyDescent="0.2">
      <c r="A37" s="10"/>
      <c r="B37" s="112" t="s">
        <v>19</v>
      </c>
      <c r="C37" s="113">
        <f>SUM(C38:C43)</f>
        <v>3584.26</v>
      </c>
      <c r="D37" s="1"/>
      <c r="E37" s="1"/>
    </row>
    <row r="38" spans="1:6" x14ac:dyDescent="0.2">
      <c r="A38" s="70">
        <v>45016</v>
      </c>
      <c r="B38" s="57" t="s">
        <v>160</v>
      </c>
      <c r="C38" s="69">
        <v>3584.26</v>
      </c>
      <c r="D38" s="1"/>
      <c r="E38" s="1"/>
    </row>
    <row r="39" spans="1:6" x14ac:dyDescent="0.2">
      <c r="A39" s="70"/>
      <c r="B39" s="57"/>
      <c r="C39" s="69"/>
      <c r="D39" s="1"/>
      <c r="E39" s="1"/>
    </row>
    <row r="40" spans="1:6" x14ac:dyDescent="0.2">
      <c r="A40" s="70"/>
      <c r="B40" s="57"/>
      <c r="C40" s="69"/>
      <c r="D40" s="1"/>
      <c r="E40" s="1"/>
    </row>
    <row r="41" spans="1:6" x14ac:dyDescent="0.2">
      <c r="A41" s="70"/>
      <c r="B41" s="57"/>
      <c r="C41" s="69"/>
      <c r="D41" s="1"/>
      <c r="E41" s="1"/>
    </row>
    <row r="42" spans="1:6" x14ac:dyDescent="0.2">
      <c r="A42" s="70"/>
      <c r="B42" s="57"/>
      <c r="C42" s="69"/>
      <c r="D42" s="1"/>
      <c r="E42" s="1"/>
    </row>
    <row r="43" spans="1:6" ht="13.5" thickBot="1" x14ac:dyDescent="0.25">
      <c r="A43" s="12"/>
      <c r="B43" s="13"/>
      <c r="C43" s="14"/>
    </row>
    <row r="44" spans="1:6" ht="13.5" thickBot="1" x14ac:dyDescent="0.25">
      <c r="A44" s="2"/>
      <c r="C44" s="4"/>
      <c r="D44" s="1"/>
      <c r="E44" s="1"/>
      <c r="F44" s="4"/>
    </row>
    <row r="45" spans="1:6" x14ac:dyDescent="0.2">
      <c r="A45" s="10"/>
      <c r="B45" s="112" t="s">
        <v>58</v>
      </c>
      <c r="C45" s="113">
        <f>SUM(C46:C50)</f>
        <v>0</v>
      </c>
    </row>
    <row r="46" spans="1:6" x14ac:dyDescent="0.2">
      <c r="A46" s="70"/>
      <c r="B46" s="57"/>
      <c r="C46" s="69"/>
    </row>
    <row r="47" spans="1:6" x14ac:dyDescent="0.2">
      <c r="A47" s="70"/>
      <c r="B47" s="57"/>
      <c r="C47" s="69"/>
    </row>
    <row r="48" spans="1:6" x14ac:dyDescent="0.2">
      <c r="A48" s="70"/>
      <c r="B48" s="57"/>
      <c r="C48" s="69"/>
    </row>
    <row r="49" spans="1:6" x14ac:dyDescent="0.2">
      <c r="A49" s="70"/>
      <c r="B49" s="57"/>
      <c r="C49" s="69"/>
    </row>
    <row r="50" spans="1:6" ht="13.5" thickBot="1" x14ac:dyDescent="0.25">
      <c r="A50" s="59"/>
      <c r="B50" s="58"/>
      <c r="C50" s="14"/>
      <c r="D50" s="1"/>
      <c r="E50" s="1"/>
    </row>
    <row r="51" spans="1:6" ht="13.5" thickBot="1" x14ac:dyDescent="0.25">
      <c r="A51" s="2"/>
      <c r="D51" s="1"/>
      <c r="E51" s="1"/>
    </row>
    <row r="52" spans="1:6" x14ac:dyDescent="0.2">
      <c r="A52" s="10"/>
      <c r="B52" s="112" t="s">
        <v>55</v>
      </c>
      <c r="C52" s="113">
        <f>SUM(C53:C58)</f>
        <v>14329.01</v>
      </c>
      <c r="D52" s="1"/>
      <c r="E52" s="1"/>
    </row>
    <row r="53" spans="1:6" x14ac:dyDescent="0.2">
      <c r="A53" s="70">
        <v>44999</v>
      </c>
      <c r="B53" s="57" t="s">
        <v>162</v>
      </c>
      <c r="C53" s="71">
        <f>2600.01+6519</f>
        <v>9119.01</v>
      </c>
      <c r="D53" s="1"/>
      <c r="E53" s="1"/>
    </row>
    <row r="54" spans="1:6" x14ac:dyDescent="0.2">
      <c r="A54" s="70">
        <v>45006</v>
      </c>
      <c r="B54" s="57" t="s">
        <v>187</v>
      </c>
      <c r="C54" s="71">
        <v>5210</v>
      </c>
      <c r="D54" s="1"/>
      <c r="E54" s="1"/>
    </row>
    <row r="55" spans="1:6" x14ac:dyDescent="0.2">
      <c r="A55" s="70"/>
      <c r="B55" s="57"/>
      <c r="C55" s="71"/>
      <c r="D55" s="1"/>
      <c r="E55" s="1"/>
    </row>
    <row r="56" spans="1:6" x14ac:dyDescent="0.2">
      <c r="A56" s="70"/>
      <c r="B56" s="57"/>
      <c r="C56" s="71"/>
      <c r="D56" s="1"/>
      <c r="E56" s="1"/>
    </row>
    <row r="57" spans="1:6" x14ac:dyDescent="0.2">
      <c r="A57" s="70"/>
      <c r="B57" s="57"/>
      <c r="C57" s="71"/>
      <c r="D57" s="1"/>
      <c r="E57" s="1"/>
    </row>
    <row r="58" spans="1:6" ht="13.5" thickBot="1" x14ac:dyDescent="0.25">
      <c r="A58" s="12"/>
      <c r="B58" s="58"/>
      <c r="C58" s="14"/>
      <c r="D58" s="1"/>
      <c r="E58" s="1"/>
    </row>
    <row r="59" spans="1:6" ht="13.5" thickBot="1" x14ac:dyDescent="0.25">
      <c r="A59" s="21"/>
      <c r="B59" s="57"/>
      <c r="C59" s="29"/>
      <c r="D59" s="1"/>
      <c r="E59" s="1"/>
    </row>
    <row r="60" spans="1:6" x14ac:dyDescent="0.2">
      <c r="A60" s="10"/>
      <c r="B60" s="112" t="s">
        <v>56</v>
      </c>
      <c r="C60" s="113">
        <f>SUM(C61:C64)</f>
        <v>0</v>
      </c>
      <c r="D60" s="1"/>
      <c r="E60" s="1"/>
      <c r="F60" s="4"/>
    </row>
    <row r="61" spans="1:6" x14ac:dyDescent="0.2">
      <c r="A61" s="70"/>
      <c r="B61" s="57"/>
      <c r="C61" s="71"/>
      <c r="D61" s="1"/>
      <c r="E61" s="1"/>
      <c r="F61" s="4"/>
    </row>
    <row r="62" spans="1:6" x14ac:dyDescent="0.2">
      <c r="A62" s="70"/>
      <c r="B62" s="57"/>
      <c r="C62" s="71"/>
      <c r="D62" s="1"/>
      <c r="E62" s="1"/>
      <c r="F62" s="4"/>
    </row>
    <row r="63" spans="1:6" x14ac:dyDescent="0.2">
      <c r="A63" s="70"/>
      <c r="B63" s="57"/>
      <c r="C63" s="71"/>
      <c r="D63" s="1"/>
      <c r="E63" s="1"/>
      <c r="F63" s="4"/>
    </row>
    <row r="64" spans="1:6" ht="13.5" thickBot="1" x14ac:dyDescent="0.25">
      <c r="A64" s="59"/>
      <c r="B64" s="58"/>
      <c r="C64" s="14"/>
    </row>
    <row r="65" spans="1:6" ht="13.5" thickBot="1" x14ac:dyDescent="0.25">
      <c r="A65" s="21"/>
      <c r="B65" s="57"/>
      <c r="C65" s="29"/>
    </row>
    <row r="66" spans="1:6" x14ac:dyDescent="0.2">
      <c r="A66" s="10"/>
      <c r="B66" s="112" t="s">
        <v>50</v>
      </c>
      <c r="C66" s="113">
        <f>SUM(C67:C68)</f>
        <v>0</v>
      </c>
    </row>
    <row r="67" spans="1:6" x14ac:dyDescent="0.2">
      <c r="A67" s="70"/>
      <c r="B67" s="57"/>
      <c r="C67" s="69"/>
    </row>
    <row r="68" spans="1:6" ht="13.5" thickBot="1" x14ac:dyDescent="0.25">
      <c r="A68" s="59"/>
      <c r="B68" s="58"/>
      <c r="C68" s="14"/>
      <c r="D68" s="1"/>
      <c r="E68" s="1"/>
    </row>
    <row r="69" spans="1:6" ht="13.5" thickBot="1" x14ac:dyDescent="0.25">
      <c r="A69" s="2"/>
      <c r="D69" s="1"/>
      <c r="E69" s="1"/>
      <c r="F69" s="4"/>
    </row>
    <row r="70" spans="1:6" x14ac:dyDescent="0.2">
      <c r="A70" s="10"/>
      <c r="B70" s="112" t="s">
        <v>28</v>
      </c>
      <c r="C70" s="113">
        <f>SUM(C71:C73)</f>
        <v>0</v>
      </c>
    </row>
    <row r="71" spans="1:6" x14ac:dyDescent="0.2">
      <c r="A71" s="79"/>
      <c r="B71" s="57"/>
      <c r="C71" s="71"/>
    </row>
    <row r="72" spans="1:6" x14ac:dyDescent="0.2">
      <c r="A72" s="79"/>
      <c r="B72" s="57"/>
      <c r="C72" s="71"/>
    </row>
    <row r="73" spans="1:6" ht="13.5" thickBot="1" x14ac:dyDescent="0.25">
      <c r="A73" s="97"/>
      <c r="B73" s="98"/>
      <c r="C73" s="14"/>
      <c r="D73" s="1"/>
      <c r="E73" s="1"/>
    </row>
    <row r="74" spans="1:6" ht="13.5" thickBot="1" x14ac:dyDescent="0.25">
      <c r="A74" s="2"/>
      <c r="D74" s="1"/>
      <c r="E74" s="1"/>
    </row>
    <row r="75" spans="1:6" x14ac:dyDescent="0.2">
      <c r="A75" s="10"/>
      <c r="B75" s="112" t="s">
        <v>57</v>
      </c>
      <c r="C75" s="113">
        <f>SUM(C76:C78)</f>
        <v>0</v>
      </c>
      <c r="D75" s="1"/>
      <c r="E75" s="1"/>
    </row>
    <row r="76" spans="1:6" x14ac:dyDescent="0.2">
      <c r="A76" s="84"/>
      <c r="B76" s="57"/>
      <c r="C76" s="69"/>
      <c r="D76" s="1"/>
      <c r="E76" s="1"/>
    </row>
    <row r="77" spans="1:6" x14ac:dyDescent="0.2">
      <c r="A77" s="84"/>
      <c r="B77" s="57"/>
      <c r="C77" s="69"/>
      <c r="D77" s="1"/>
      <c r="E77" s="1"/>
    </row>
    <row r="78" spans="1:6" ht="13.5" thickBot="1" x14ac:dyDescent="0.25">
      <c r="A78" s="59"/>
      <c r="B78" s="58"/>
      <c r="C78" s="14"/>
      <c r="D78" s="1"/>
      <c r="E78" s="1"/>
    </row>
    <row r="79" spans="1:6" ht="13.5" thickBot="1" x14ac:dyDescent="0.25">
      <c r="A79" s="2"/>
    </row>
    <row r="80" spans="1:6" x14ac:dyDescent="0.2">
      <c r="A80" s="10"/>
      <c r="B80" s="112" t="s">
        <v>27</v>
      </c>
      <c r="C80" s="113">
        <f>SUM(C81:C84)</f>
        <v>0</v>
      </c>
    </row>
    <row r="81" spans="1:7" x14ac:dyDescent="0.2">
      <c r="A81" s="70"/>
      <c r="B81" s="57"/>
      <c r="C81" s="71"/>
    </row>
    <row r="82" spans="1:7" x14ac:dyDescent="0.2">
      <c r="A82" s="70"/>
      <c r="B82" s="57"/>
      <c r="C82" s="71"/>
    </row>
    <row r="83" spans="1:7" x14ac:dyDescent="0.2">
      <c r="A83" s="70"/>
      <c r="B83" s="57"/>
      <c r="C83" s="71"/>
    </row>
    <row r="84" spans="1:7" ht="13.5" thickBot="1" x14ac:dyDescent="0.25">
      <c r="A84" s="59"/>
      <c r="B84" s="13"/>
      <c r="C84" s="14"/>
    </row>
    <row r="85" spans="1:7" x14ac:dyDescent="0.2">
      <c r="A85" s="2"/>
      <c r="B85" s="7"/>
    </row>
    <row r="86" spans="1:7" ht="13.5" thickBot="1" x14ac:dyDescent="0.25">
      <c r="A86" s="9"/>
      <c r="B86" s="8"/>
      <c r="C86" s="8"/>
      <c r="D86" s="1"/>
      <c r="E86" s="1"/>
      <c r="G86" s="62"/>
    </row>
    <row r="87" spans="1:7" ht="13.5" thickBot="1" x14ac:dyDescent="0.25">
      <c r="A87" s="114"/>
      <c r="B87" s="115" t="s">
        <v>29</v>
      </c>
      <c r="C87" s="116">
        <f>C88+C95+C98+C101+C104+C107+C111+C114+C119+C123+C127+C130+C133+C142+C151+C159+C164+C192</f>
        <v>786458.46</v>
      </c>
      <c r="D87" s="1"/>
      <c r="E87" s="1"/>
    </row>
    <row r="88" spans="1:7" x14ac:dyDescent="0.2">
      <c r="A88" s="10"/>
      <c r="B88" s="112" t="s">
        <v>26</v>
      </c>
      <c r="C88" s="113">
        <f>SUM(C89:C93)</f>
        <v>0</v>
      </c>
      <c r="D88" s="1"/>
      <c r="E88" s="1"/>
      <c r="F88" s="4"/>
    </row>
    <row r="89" spans="1:7" x14ac:dyDescent="0.2">
      <c r="A89" s="70"/>
      <c r="B89" s="57"/>
      <c r="C89" s="69"/>
    </row>
    <row r="90" spans="1:7" x14ac:dyDescent="0.2">
      <c r="A90" s="70"/>
      <c r="B90" s="57"/>
      <c r="C90" s="69"/>
    </row>
    <row r="91" spans="1:7" x14ac:dyDescent="0.2">
      <c r="A91" s="70"/>
      <c r="B91" s="57"/>
      <c r="C91" s="69"/>
    </row>
    <row r="92" spans="1:7" x14ac:dyDescent="0.2">
      <c r="A92" s="70"/>
      <c r="B92" s="57"/>
      <c r="C92" s="69"/>
    </row>
    <row r="93" spans="1:7" ht="13.5" thickBot="1" x14ac:dyDescent="0.25">
      <c r="A93" s="12"/>
      <c r="B93" s="13"/>
      <c r="C93" s="14"/>
      <c r="D93" s="1"/>
      <c r="E93" s="1"/>
    </row>
    <row r="94" spans="1:7" ht="13.5" thickBot="1" x14ac:dyDescent="0.25">
      <c r="A94" s="2"/>
      <c r="C94" s="4"/>
      <c r="D94" s="1"/>
      <c r="E94" s="1"/>
    </row>
    <row r="95" spans="1:7" x14ac:dyDescent="0.2">
      <c r="A95" s="10"/>
      <c r="B95" s="112" t="s">
        <v>53</v>
      </c>
      <c r="C95" s="113">
        <f>SUM(C96:C96)</f>
        <v>0</v>
      </c>
      <c r="D95" s="1"/>
      <c r="E95" s="1"/>
      <c r="F95" s="4"/>
    </row>
    <row r="96" spans="1:7" ht="13.5" thickBot="1" x14ac:dyDescent="0.25">
      <c r="A96" s="59"/>
      <c r="B96" s="58"/>
      <c r="C96" s="14"/>
    </row>
    <row r="97" spans="1:6" ht="13.5" thickBot="1" x14ac:dyDescent="0.25">
      <c r="A97" s="21"/>
      <c r="B97" s="60"/>
      <c r="C97" s="29"/>
    </row>
    <row r="98" spans="1:6" x14ac:dyDescent="0.2">
      <c r="A98" s="10"/>
      <c r="B98" s="112" t="s">
        <v>51</v>
      </c>
      <c r="C98" s="113">
        <f>SUM(C99)</f>
        <v>0</v>
      </c>
    </row>
    <row r="99" spans="1:6" ht="13.5" thickBot="1" x14ac:dyDescent="0.25">
      <c r="A99" s="59"/>
      <c r="B99" s="58"/>
      <c r="C99" s="83"/>
      <c r="D99" s="1"/>
      <c r="E99" s="1"/>
    </row>
    <row r="100" spans="1:6" ht="13.5" thickBot="1" x14ac:dyDescent="0.25">
      <c r="A100" s="21"/>
      <c r="B100" s="60"/>
      <c r="C100" s="29"/>
      <c r="D100" s="1"/>
      <c r="E100" s="1"/>
    </row>
    <row r="101" spans="1:6" x14ac:dyDescent="0.2">
      <c r="A101" s="10"/>
      <c r="B101" s="112" t="s">
        <v>49</v>
      </c>
      <c r="C101" s="113">
        <f>SUM(C102)</f>
        <v>0</v>
      </c>
      <c r="D101" s="1"/>
      <c r="E101" s="1"/>
    </row>
    <row r="102" spans="1:6" ht="13.5" thickBot="1" x14ac:dyDescent="0.25">
      <c r="A102" s="59"/>
      <c r="B102" s="58"/>
      <c r="C102" s="14"/>
    </row>
    <row r="103" spans="1:6" ht="13.5" thickBot="1" x14ac:dyDescent="0.25">
      <c r="A103" s="107"/>
      <c r="B103" s="57"/>
      <c r="C103" s="29"/>
    </row>
    <row r="104" spans="1:6" x14ac:dyDescent="0.2">
      <c r="A104" s="10"/>
      <c r="B104" s="112" t="s">
        <v>75</v>
      </c>
      <c r="C104" s="113">
        <f>SUM(C105)</f>
        <v>0</v>
      </c>
    </row>
    <row r="105" spans="1:6" ht="13.5" thickBot="1" x14ac:dyDescent="0.25">
      <c r="A105" s="59"/>
      <c r="B105" s="58"/>
      <c r="C105" s="14"/>
    </row>
    <row r="106" spans="1:6" ht="13.5" thickBot="1" x14ac:dyDescent="0.25">
      <c r="A106" s="2"/>
    </row>
    <row r="107" spans="1:6" x14ac:dyDescent="0.2">
      <c r="A107" s="10"/>
      <c r="B107" s="112" t="s">
        <v>77</v>
      </c>
      <c r="C107" s="113">
        <f>SUM(C108:C109)</f>
        <v>496154.73</v>
      </c>
    </row>
    <row r="108" spans="1:6" x14ac:dyDescent="0.2">
      <c r="A108" s="70">
        <v>45000</v>
      </c>
      <c r="B108" s="57" t="s">
        <v>154</v>
      </c>
      <c r="C108" s="71">
        <v>246053.56</v>
      </c>
    </row>
    <row r="109" spans="1:6" ht="13.5" thickBot="1" x14ac:dyDescent="0.25">
      <c r="A109" s="59">
        <v>45000</v>
      </c>
      <c r="B109" s="13" t="s">
        <v>155</v>
      </c>
      <c r="C109" s="14">
        <v>250101.17</v>
      </c>
      <c r="D109" s="1"/>
      <c r="E109" s="1"/>
    </row>
    <row r="110" spans="1:6" ht="13.5" thickBot="1" x14ac:dyDescent="0.25">
      <c r="A110" s="2"/>
      <c r="C110" s="1"/>
    </row>
    <row r="111" spans="1:6" x14ac:dyDescent="0.2">
      <c r="A111" s="10"/>
      <c r="B111" s="112" t="s">
        <v>78</v>
      </c>
      <c r="C111" s="113">
        <f>SUM(C112)</f>
        <v>201205.49</v>
      </c>
      <c r="D111" s="1"/>
      <c r="E111" s="1"/>
    </row>
    <row r="112" spans="1:6" ht="13.5" thickBot="1" x14ac:dyDescent="0.25">
      <c r="A112" s="59">
        <v>45015</v>
      </c>
      <c r="B112" s="18" t="s">
        <v>150</v>
      </c>
      <c r="C112" s="14">
        <v>201205.49</v>
      </c>
      <c r="D112" s="1"/>
      <c r="E112" s="1"/>
      <c r="F112" s="4"/>
    </row>
    <row r="113" spans="1:6" ht="13.5" thickBot="1" x14ac:dyDescent="0.25">
      <c r="A113" s="2"/>
      <c r="B113" s="3"/>
      <c r="C113" s="1"/>
    </row>
    <row r="114" spans="1:6" x14ac:dyDescent="0.2">
      <c r="A114" s="10"/>
      <c r="B114" s="112" t="s">
        <v>30</v>
      </c>
      <c r="C114" s="113">
        <f>SUM(C115:C117)</f>
        <v>0</v>
      </c>
      <c r="D114" s="1"/>
      <c r="E114" s="1"/>
      <c r="F114" s="4"/>
    </row>
    <row r="115" spans="1:6" x14ac:dyDescent="0.2">
      <c r="A115" s="70"/>
      <c r="B115" s="57"/>
      <c r="C115" s="69"/>
    </row>
    <row r="116" spans="1:6" x14ac:dyDescent="0.2">
      <c r="A116" s="70"/>
      <c r="B116" s="57"/>
      <c r="C116" s="69"/>
    </row>
    <row r="117" spans="1:6" ht="13.5" thickBot="1" x14ac:dyDescent="0.25">
      <c r="A117" s="12"/>
      <c r="B117" s="13"/>
      <c r="C117" s="14"/>
    </row>
    <row r="118" spans="1:6" ht="13.5" thickBot="1" x14ac:dyDescent="0.25">
      <c r="A118" s="2"/>
      <c r="C118" s="4"/>
      <c r="D118" s="1"/>
      <c r="E118" s="1"/>
      <c r="F118" s="4"/>
    </row>
    <row r="119" spans="1:6" x14ac:dyDescent="0.2">
      <c r="A119" s="10"/>
      <c r="B119" s="112" t="s">
        <v>18</v>
      </c>
      <c r="C119" s="113">
        <f>SUM(C120:C121)</f>
        <v>0</v>
      </c>
    </row>
    <row r="120" spans="1:6" x14ac:dyDescent="0.2">
      <c r="A120" s="70"/>
      <c r="B120" s="57"/>
      <c r="C120" s="69"/>
      <c r="D120" s="1"/>
      <c r="E120" s="1"/>
    </row>
    <row r="121" spans="1:6" ht="13.5" thickBot="1" x14ac:dyDescent="0.25">
      <c r="A121" s="59"/>
      <c r="B121" s="13"/>
      <c r="C121" s="14"/>
      <c r="D121" s="1"/>
      <c r="E121" s="1"/>
    </row>
    <row r="122" spans="1:6" ht="13.5" thickBot="1" x14ac:dyDescent="0.25">
      <c r="A122" s="2"/>
      <c r="C122" s="1"/>
    </row>
    <row r="123" spans="1:6" x14ac:dyDescent="0.2">
      <c r="A123" s="10"/>
      <c r="B123" s="112" t="s">
        <v>31</v>
      </c>
      <c r="C123" s="113">
        <f>SUM(C124:C125)</f>
        <v>0</v>
      </c>
    </row>
    <row r="124" spans="1:6" x14ac:dyDescent="0.2">
      <c r="A124" s="70"/>
      <c r="B124" s="57"/>
      <c r="C124" s="71"/>
    </row>
    <row r="125" spans="1:6" ht="13.5" thickBot="1" x14ac:dyDescent="0.25">
      <c r="A125" s="95"/>
      <c r="B125" s="18"/>
      <c r="C125" s="14"/>
      <c r="D125" s="1"/>
      <c r="E125" s="1"/>
    </row>
    <row r="126" spans="1:6" ht="13.5" thickBot="1" x14ac:dyDescent="0.25">
      <c r="A126" s="5"/>
      <c r="C126" s="1"/>
    </row>
    <row r="127" spans="1:6" x14ac:dyDescent="0.2">
      <c r="A127" s="10"/>
      <c r="B127" s="112" t="s">
        <v>32</v>
      </c>
      <c r="C127" s="113">
        <f>SUM(C128)</f>
        <v>0</v>
      </c>
    </row>
    <row r="128" spans="1:6" ht="13.5" thickBot="1" x14ac:dyDescent="0.25">
      <c r="A128" s="12"/>
      <c r="B128" s="61"/>
      <c r="C128" s="14"/>
    </row>
    <row r="129" spans="1:6" ht="13.5" thickBot="1" x14ac:dyDescent="0.25">
      <c r="A129" s="2"/>
      <c r="D129" s="1"/>
      <c r="E129" s="1"/>
    </row>
    <row r="130" spans="1:6" x14ac:dyDescent="0.2">
      <c r="A130" s="10"/>
      <c r="B130" s="112" t="s">
        <v>33</v>
      </c>
      <c r="C130" s="113">
        <f>SUM(C131)</f>
        <v>0</v>
      </c>
      <c r="D130" s="1"/>
      <c r="E130" s="1"/>
      <c r="F130" s="4"/>
    </row>
    <row r="131" spans="1:6" ht="13.5" thickBot="1" x14ac:dyDescent="0.25">
      <c r="A131" s="12"/>
      <c r="B131" s="61"/>
      <c r="C131" s="14"/>
    </row>
    <row r="132" spans="1:6" ht="13.5" thickBot="1" x14ac:dyDescent="0.25">
      <c r="A132" s="2"/>
      <c r="D132" s="1"/>
      <c r="E132" s="1"/>
      <c r="F132" s="4"/>
    </row>
    <row r="133" spans="1:6" x14ac:dyDescent="0.2">
      <c r="A133" s="10"/>
      <c r="B133" s="112" t="s">
        <v>34</v>
      </c>
      <c r="C133" s="113">
        <f>SUM(C134:C140)</f>
        <v>3148.63</v>
      </c>
      <c r="D133" s="1"/>
      <c r="E133" s="1"/>
      <c r="F133" s="4"/>
    </row>
    <row r="134" spans="1:6" x14ac:dyDescent="0.2">
      <c r="A134" s="70">
        <v>45009</v>
      </c>
      <c r="B134" s="91" t="s">
        <v>151</v>
      </c>
      <c r="C134" s="71">
        <f>55*18.23</f>
        <v>1002.65</v>
      </c>
      <c r="D134" s="1"/>
      <c r="E134" s="1"/>
      <c r="F134" s="4"/>
    </row>
    <row r="135" spans="1:6" x14ac:dyDescent="0.2">
      <c r="A135" s="70">
        <v>44995</v>
      </c>
      <c r="B135" s="91" t="s">
        <v>157</v>
      </c>
      <c r="C135" s="71">
        <f>55*18.2</f>
        <v>1001</v>
      </c>
      <c r="D135" s="1"/>
      <c r="E135" s="1"/>
      <c r="F135" s="4"/>
    </row>
    <row r="136" spans="1:6" x14ac:dyDescent="0.2">
      <c r="A136" s="84">
        <v>44999</v>
      </c>
      <c r="B136" s="91" t="s">
        <v>193</v>
      </c>
      <c r="C136" s="69">
        <v>1144.98</v>
      </c>
      <c r="D136" s="1"/>
      <c r="E136" s="1"/>
      <c r="F136" s="4"/>
    </row>
    <row r="137" spans="1:6" x14ac:dyDescent="0.2">
      <c r="A137" s="84"/>
      <c r="B137" s="91"/>
      <c r="C137" s="69"/>
      <c r="D137" s="1"/>
      <c r="E137" s="1"/>
      <c r="F137" s="4"/>
    </row>
    <row r="138" spans="1:6" x14ac:dyDescent="0.2">
      <c r="A138" s="84"/>
      <c r="B138" s="91"/>
      <c r="C138" s="69"/>
      <c r="D138" s="1"/>
      <c r="E138" s="1"/>
      <c r="F138" s="4"/>
    </row>
    <row r="139" spans="1:6" x14ac:dyDescent="0.2">
      <c r="A139" s="84"/>
      <c r="B139" s="91"/>
      <c r="C139" s="69"/>
      <c r="D139" s="1"/>
      <c r="E139" s="1"/>
      <c r="F139" s="4"/>
    </row>
    <row r="140" spans="1:6" ht="13.5" thickBot="1" x14ac:dyDescent="0.25">
      <c r="A140" s="59"/>
      <c r="B140" s="13"/>
      <c r="C140" s="14"/>
      <c r="D140" s="1"/>
      <c r="E140" s="1"/>
      <c r="F140" s="4"/>
    </row>
    <row r="141" spans="1:6" ht="13.5" thickBot="1" x14ac:dyDescent="0.25">
      <c r="A141" s="2"/>
      <c r="C141" s="1"/>
    </row>
    <row r="142" spans="1:6" x14ac:dyDescent="0.2">
      <c r="A142" s="10"/>
      <c r="B142" s="112" t="s">
        <v>35</v>
      </c>
      <c r="C142" s="113">
        <f>SUM(C143:C149)</f>
        <v>7235.59</v>
      </c>
      <c r="D142" s="1"/>
      <c r="E142" s="1"/>
    </row>
    <row r="143" spans="1:6" x14ac:dyDescent="0.2">
      <c r="A143" s="70">
        <v>45012</v>
      </c>
      <c r="B143" s="57" t="s">
        <v>197</v>
      </c>
      <c r="C143" s="69">
        <v>1886.58</v>
      </c>
      <c r="D143" s="1"/>
      <c r="E143" s="1"/>
      <c r="F143" s="4"/>
    </row>
    <row r="144" spans="1:6" x14ac:dyDescent="0.2">
      <c r="A144" s="70">
        <v>45000</v>
      </c>
      <c r="B144" s="57" t="s">
        <v>198</v>
      </c>
      <c r="C144" s="69">
        <v>2133.52</v>
      </c>
      <c r="D144" s="1"/>
      <c r="E144" s="1"/>
      <c r="F144" s="4"/>
    </row>
    <row r="145" spans="1:6" x14ac:dyDescent="0.2">
      <c r="A145" s="70">
        <v>45000</v>
      </c>
      <c r="B145" s="57" t="s">
        <v>199</v>
      </c>
      <c r="C145" s="69">
        <v>1631.83</v>
      </c>
      <c r="D145" s="1"/>
      <c r="E145" s="1"/>
      <c r="F145" s="4"/>
    </row>
    <row r="146" spans="1:6" x14ac:dyDescent="0.2">
      <c r="A146" s="70">
        <v>44988</v>
      </c>
      <c r="B146" s="57" t="s">
        <v>200</v>
      </c>
      <c r="C146" s="69">
        <v>1583.66</v>
      </c>
      <c r="D146" s="1"/>
      <c r="E146" s="1"/>
      <c r="F146" s="4"/>
    </row>
    <row r="147" spans="1:6" x14ac:dyDescent="0.2">
      <c r="A147" s="70"/>
      <c r="B147" s="57"/>
      <c r="C147" s="69"/>
      <c r="D147" s="1"/>
      <c r="E147" s="1"/>
      <c r="F147" s="4"/>
    </row>
    <row r="148" spans="1:6" x14ac:dyDescent="0.2">
      <c r="A148" s="70"/>
      <c r="B148" s="57"/>
      <c r="C148" s="69"/>
      <c r="D148" s="1"/>
      <c r="E148" s="1"/>
      <c r="F148" s="4"/>
    </row>
    <row r="149" spans="1:6" ht="13.5" thickBot="1" x14ac:dyDescent="0.25">
      <c r="A149" s="12"/>
      <c r="B149" s="13"/>
      <c r="C149" s="14"/>
      <c r="D149" s="1"/>
      <c r="E149" s="1"/>
      <c r="F149" s="4"/>
    </row>
    <row r="150" spans="1:6" ht="13.5" thickBot="1" x14ac:dyDescent="0.25">
      <c r="A150" s="2"/>
      <c r="C150" s="1"/>
    </row>
    <row r="151" spans="1:6" x14ac:dyDescent="0.2">
      <c r="A151" s="10"/>
      <c r="B151" s="112" t="s">
        <v>37</v>
      </c>
      <c r="C151" s="113">
        <f>SUM(C152:C157)</f>
        <v>3284.6</v>
      </c>
    </row>
    <row r="152" spans="1:6" x14ac:dyDescent="0.2">
      <c r="A152" s="70">
        <v>45009</v>
      </c>
      <c r="B152" s="57" t="s">
        <v>152</v>
      </c>
      <c r="C152" s="69">
        <v>242.41</v>
      </c>
    </row>
    <row r="153" spans="1:6" x14ac:dyDescent="0.2">
      <c r="A153" s="70">
        <v>44995</v>
      </c>
      <c r="B153" s="57" t="s">
        <v>156</v>
      </c>
      <c r="C153" s="69">
        <v>234.75</v>
      </c>
    </row>
    <row r="154" spans="1:6" x14ac:dyDescent="0.2">
      <c r="A154" s="70">
        <v>45006</v>
      </c>
      <c r="B154" s="57" t="s">
        <v>192</v>
      </c>
      <c r="C154" s="69">
        <v>2807.44</v>
      </c>
    </row>
    <row r="155" spans="1:6" x14ac:dyDescent="0.2">
      <c r="A155" s="70"/>
      <c r="B155" s="57"/>
      <c r="C155" s="69"/>
      <c r="D155" s="1"/>
    </row>
    <row r="156" spans="1:6" x14ac:dyDescent="0.2">
      <c r="A156" s="70"/>
      <c r="B156" s="57"/>
      <c r="C156" s="69"/>
    </row>
    <row r="157" spans="1:6" ht="13.5" thickBot="1" x14ac:dyDescent="0.25">
      <c r="A157" s="12"/>
      <c r="B157" s="13"/>
      <c r="C157" s="14"/>
    </row>
    <row r="158" spans="1:6" ht="13.5" thickBot="1" x14ac:dyDescent="0.25">
      <c r="A158" s="21"/>
      <c r="B158" s="11"/>
      <c r="C158" s="29"/>
      <c r="D158" s="1"/>
      <c r="E158" s="1"/>
    </row>
    <row r="159" spans="1:6" x14ac:dyDescent="0.2">
      <c r="A159" s="10"/>
      <c r="B159" s="112" t="s">
        <v>54</v>
      </c>
      <c r="C159" s="113">
        <f>SUM(C160:C162)</f>
        <v>0</v>
      </c>
      <c r="D159" s="1"/>
      <c r="E159" s="1"/>
    </row>
    <row r="160" spans="1:6" x14ac:dyDescent="0.2">
      <c r="A160" s="70"/>
      <c r="B160" s="72"/>
      <c r="C160" s="69"/>
      <c r="D160" s="1"/>
      <c r="E160" s="1"/>
    </row>
    <row r="161" spans="1:6" x14ac:dyDescent="0.2">
      <c r="A161" s="70"/>
      <c r="B161" s="78"/>
      <c r="C161" s="69"/>
      <c r="D161" s="1"/>
      <c r="E161" s="1"/>
    </row>
    <row r="162" spans="1:6" ht="13.5" thickBot="1" x14ac:dyDescent="0.25">
      <c r="A162" s="12"/>
      <c r="B162" s="61"/>
      <c r="C162" s="14"/>
      <c r="D162" s="1"/>
      <c r="E162" s="1"/>
    </row>
    <row r="163" spans="1:6" ht="13.5" thickBot="1" x14ac:dyDescent="0.25">
      <c r="A163" s="26"/>
      <c r="B163" s="57"/>
      <c r="C163" s="29"/>
      <c r="D163" s="1"/>
      <c r="E163" s="1"/>
    </row>
    <row r="164" spans="1:6" x14ac:dyDescent="0.2">
      <c r="A164" s="23"/>
      <c r="B164" s="112" t="s">
        <v>38</v>
      </c>
      <c r="C164" s="113">
        <f>SUM(C165:C190)</f>
        <v>63365.42</v>
      </c>
      <c r="D164" s="1"/>
      <c r="E164" s="1"/>
    </row>
    <row r="165" spans="1:6" x14ac:dyDescent="0.2">
      <c r="A165" s="96" t="s">
        <v>130</v>
      </c>
      <c r="B165" s="57" t="s">
        <v>131</v>
      </c>
      <c r="C165" s="69">
        <v>300</v>
      </c>
      <c r="D165" s="1"/>
      <c r="E165" s="1"/>
      <c r="F165" s="4"/>
    </row>
    <row r="166" spans="1:6" x14ac:dyDescent="0.2">
      <c r="A166" s="96" t="s">
        <v>130</v>
      </c>
      <c r="B166" s="57" t="s">
        <v>132</v>
      </c>
      <c r="C166" s="69">
        <v>300</v>
      </c>
      <c r="D166" s="1"/>
      <c r="E166" s="1"/>
      <c r="F166" s="4"/>
    </row>
    <row r="167" spans="1:6" x14ac:dyDescent="0.2">
      <c r="A167" s="96" t="s">
        <v>130</v>
      </c>
      <c r="B167" s="57" t="s">
        <v>133</v>
      </c>
      <c r="C167" s="69">
        <v>300</v>
      </c>
      <c r="D167" s="1"/>
      <c r="E167" s="1"/>
      <c r="F167" s="4"/>
    </row>
    <row r="168" spans="1:6" x14ac:dyDescent="0.2">
      <c r="A168" s="96" t="s">
        <v>135</v>
      </c>
      <c r="B168" s="57" t="s">
        <v>134</v>
      </c>
      <c r="C168" s="69">
        <f>297.5</f>
        <v>297.5</v>
      </c>
      <c r="D168" s="1"/>
      <c r="E168" s="1"/>
      <c r="F168" s="4"/>
    </row>
    <row r="169" spans="1:6" x14ac:dyDescent="0.2">
      <c r="A169" s="96" t="s">
        <v>135</v>
      </c>
      <c r="B169" s="57" t="s">
        <v>136</v>
      </c>
      <c r="C169" s="69">
        <v>300</v>
      </c>
      <c r="D169" s="1"/>
      <c r="E169" s="1"/>
      <c r="F169" s="4"/>
    </row>
    <row r="170" spans="1:6" x14ac:dyDescent="0.2">
      <c r="A170" s="96" t="s">
        <v>139</v>
      </c>
      <c r="B170" s="57" t="s">
        <v>137</v>
      </c>
      <c r="C170" s="69">
        <v>6279</v>
      </c>
      <c r="D170" s="1"/>
      <c r="E170" s="1"/>
      <c r="F170" s="4"/>
    </row>
    <row r="171" spans="1:6" x14ac:dyDescent="0.2">
      <c r="A171" s="96" t="s">
        <v>139</v>
      </c>
      <c r="B171" s="57" t="s">
        <v>138</v>
      </c>
      <c r="C171" s="69">
        <v>786.99</v>
      </c>
      <c r="D171" s="1"/>
      <c r="E171" s="1"/>
      <c r="F171" s="4"/>
    </row>
    <row r="172" spans="1:6" x14ac:dyDescent="0.2">
      <c r="A172" s="96" t="s">
        <v>139</v>
      </c>
      <c r="B172" s="57" t="s">
        <v>140</v>
      </c>
      <c r="C172" s="69">
        <v>5360</v>
      </c>
      <c r="D172" s="1"/>
      <c r="E172" s="1"/>
      <c r="F172" s="4"/>
    </row>
    <row r="173" spans="1:6" x14ac:dyDescent="0.2">
      <c r="A173" s="96" t="s">
        <v>139</v>
      </c>
      <c r="B173" s="57" t="s">
        <v>141</v>
      </c>
      <c r="C173" s="69">
        <v>988.51</v>
      </c>
      <c r="D173" s="1"/>
      <c r="E173" s="1"/>
      <c r="F173" s="4"/>
    </row>
    <row r="174" spans="1:6" x14ac:dyDescent="0.2">
      <c r="A174" s="96" t="s">
        <v>139</v>
      </c>
      <c r="B174" s="57" t="s">
        <v>142</v>
      </c>
      <c r="C174" s="69">
        <v>5360</v>
      </c>
      <c r="D174" s="1"/>
      <c r="E174" s="1"/>
      <c r="F174" s="4"/>
    </row>
    <row r="175" spans="1:6" x14ac:dyDescent="0.2">
      <c r="A175" s="96" t="s">
        <v>139</v>
      </c>
      <c r="B175" s="57" t="s">
        <v>143</v>
      </c>
      <c r="C175" s="69">
        <v>1134.02</v>
      </c>
      <c r="D175" s="1"/>
      <c r="E175" s="1"/>
      <c r="F175" s="4"/>
    </row>
    <row r="176" spans="1:6" x14ac:dyDescent="0.2">
      <c r="A176" s="96" t="s">
        <v>167</v>
      </c>
      <c r="B176" s="57" t="s">
        <v>168</v>
      </c>
      <c r="C176" s="69">
        <v>1763</v>
      </c>
      <c r="D176" s="1"/>
      <c r="E176" s="1"/>
      <c r="F176" s="4"/>
    </row>
    <row r="177" spans="1:6" x14ac:dyDescent="0.2">
      <c r="A177" s="96" t="s">
        <v>167</v>
      </c>
      <c r="B177" s="57" t="s">
        <v>169</v>
      </c>
      <c r="C177" s="69">
        <v>1743.9</v>
      </c>
      <c r="D177" s="1"/>
      <c r="E177" s="1"/>
      <c r="F177" s="4"/>
    </row>
    <row r="178" spans="1:6" x14ac:dyDescent="0.2">
      <c r="A178" s="96" t="s">
        <v>171</v>
      </c>
      <c r="B178" s="57" t="s">
        <v>172</v>
      </c>
      <c r="C178" s="69">
        <v>10239</v>
      </c>
      <c r="D178" s="1"/>
      <c r="E178" s="1"/>
      <c r="F178" s="4"/>
    </row>
    <row r="179" spans="1:6" x14ac:dyDescent="0.2">
      <c r="A179" s="96" t="s">
        <v>171</v>
      </c>
      <c r="B179" s="57" t="s">
        <v>173</v>
      </c>
      <c r="C179" s="69">
        <f>975.5+1152</f>
        <v>2127.5</v>
      </c>
      <c r="D179" s="1"/>
      <c r="E179" s="1"/>
      <c r="F179" s="4"/>
    </row>
    <row r="180" spans="1:6" x14ac:dyDescent="0.2">
      <c r="A180" s="96" t="s">
        <v>171</v>
      </c>
      <c r="B180" s="57" t="s">
        <v>174</v>
      </c>
      <c r="C180" s="69">
        <v>10229</v>
      </c>
      <c r="D180" s="1"/>
      <c r="E180" s="1"/>
      <c r="F180" s="4"/>
    </row>
    <row r="181" spans="1:6" x14ac:dyDescent="0.2">
      <c r="A181" s="96" t="s">
        <v>171</v>
      </c>
      <c r="B181" s="57" t="s">
        <v>175</v>
      </c>
      <c r="C181" s="69">
        <v>2178</v>
      </c>
      <c r="D181" s="1"/>
      <c r="E181" s="1"/>
      <c r="F181" s="4"/>
    </row>
    <row r="182" spans="1:6" x14ac:dyDescent="0.2">
      <c r="A182" s="96" t="s">
        <v>171</v>
      </c>
      <c r="B182" s="57" t="s">
        <v>176</v>
      </c>
      <c r="C182" s="69">
        <v>10239</v>
      </c>
      <c r="D182" s="1"/>
      <c r="E182" s="1"/>
      <c r="F182" s="4"/>
    </row>
    <row r="183" spans="1:6" x14ac:dyDescent="0.2">
      <c r="A183" s="96" t="s">
        <v>171</v>
      </c>
      <c r="B183" s="57" t="s">
        <v>177</v>
      </c>
      <c r="C183" s="69">
        <v>2570</v>
      </c>
      <c r="D183" s="1"/>
      <c r="E183" s="1"/>
      <c r="F183" s="4"/>
    </row>
    <row r="184" spans="1:6" x14ac:dyDescent="0.2">
      <c r="A184" s="96" t="s">
        <v>171</v>
      </c>
      <c r="B184" s="57" t="s">
        <v>180</v>
      </c>
      <c r="C184" s="69">
        <v>300</v>
      </c>
      <c r="D184" s="1"/>
      <c r="E184" s="1"/>
      <c r="F184" s="4"/>
    </row>
    <row r="185" spans="1:6" x14ac:dyDescent="0.2">
      <c r="A185" s="96" t="s">
        <v>171</v>
      </c>
      <c r="B185" s="57" t="s">
        <v>181</v>
      </c>
      <c r="C185" s="69">
        <v>300</v>
      </c>
      <c r="D185" s="1"/>
      <c r="E185" s="1"/>
      <c r="F185" s="4"/>
    </row>
    <row r="186" spans="1:6" x14ac:dyDescent="0.2">
      <c r="A186" s="96" t="s">
        <v>185</v>
      </c>
      <c r="B186" s="57" t="s">
        <v>186</v>
      </c>
      <c r="C186" s="69">
        <v>270</v>
      </c>
      <c r="D186" s="1"/>
      <c r="E186" s="1"/>
      <c r="F186" s="4"/>
    </row>
    <row r="187" spans="1:6" x14ac:dyDescent="0.2">
      <c r="A187" s="96"/>
      <c r="B187" s="57"/>
      <c r="C187" s="69"/>
      <c r="D187" s="1"/>
      <c r="E187" s="1"/>
      <c r="F187" s="4"/>
    </row>
    <row r="188" spans="1:6" x14ac:dyDescent="0.2">
      <c r="A188" s="73"/>
      <c r="B188" s="57"/>
      <c r="C188" s="69"/>
      <c r="D188" s="1"/>
      <c r="E188" s="1"/>
      <c r="F188" s="4"/>
    </row>
    <row r="189" spans="1:6" x14ac:dyDescent="0.2">
      <c r="A189" s="73"/>
      <c r="B189" s="57"/>
      <c r="C189" s="69"/>
    </row>
    <row r="190" spans="1:6" ht="13.5" thickBot="1" x14ac:dyDescent="0.25">
      <c r="A190" s="24"/>
      <c r="B190" s="58"/>
      <c r="C190" s="14"/>
      <c r="D190" s="1"/>
      <c r="E190" s="1"/>
    </row>
    <row r="191" spans="1:6" ht="13.5" thickBot="1" x14ac:dyDescent="0.25">
      <c r="A191" s="26"/>
      <c r="B191" s="57"/>
      <c r="C191" s="29"/>
      <c r="D191" s="1"/>
      <c r="E191" s="1"/>
    </row>
    <row r="192" spans="1:6" x14ac:dyDescent="0.2">
      <c r="A192" s="10"/>
      <c r="B192" s="112" t="s">
        <v>27</v>
      </c>
      <c r="C192" s="113">
        <f>SUM(C193:C198)</f>
        <v>12064</v>
      </c>
      <c r="D192" s="1"/>
      <c r="E192" s="1"/>
    </row>
    <row r="193" spans="1:6" x14ac:dyDescent="0.2">
      <c r="A193" s="70">
        <v>45000</v>
      </c>
      <c r="B193" s="57" t="s">
        <v>153</v>
      </c>
      <c r="C193" s="69">
        <v>12064</v>
      </c>
      <c r="D193" s="1"/>
      <c r="E193" s="1"/>
    </row>
    <row r="194" spans="1:6" x14ac:dyDescent="0.2">
      <c r="A194" s="70"/>
      <c r="B194" s="57"/>
      <c r="C194" s="69"/>
      <c r="D194" s="1"/>
      <c r="E194" s="1"/>
      <c r="F194" s="4"/>
    </row>
    <row r="195" spans="1:6" x14ac:dyDescent="0.2">
      <c r="A195" s="70"/>
      <c r="B195" s="57"/>
      <c r="C195" s="69"/>
      <c r="D195" s="1"/>
      <c r="E195" s="1"/>
      <c r="F195" s="4"/>
    </row>
    <row r="196" spans="1:6" x14ac:dyDescent="0.2">
      <c r="A196" s="70"/>
      <c r="B196" s="57"/>
      <c r="C196" s="69"/>
      <c r="D196" s="1"/>
      <c r="E196" s="1"/>
      <c r="F196" s="4"/>
    </row>
    <row r="197" spans="1:6" x14ac:dyDescent="0.2">
      <c r="A197" s="70"/>
      <c r="B197" s="57"/>
      <c r="C197" s="69"/>
      <c r="D197" s="1"/>
      <c r="E197" s="1"/>
      <c r="F197" s="4"/>
    </row>
    <row r="198" spans="1:6" ht="13.5" thickBot="1" x14ac:dyDescent="0.25">
      <c r="A198" s="59"/>
      <c r="B198" s="13"/>
      <c r="C198" s="14"/>
      <c r="D198" s="1"/>
      <c r="E198" s="1"/>
      <c r="F198" s="4"/>
    </row>
    <row r="199" spans="1:6" x14ac:dyDescent="0.2">
      <c r="A199" s="2"/>
      <c r="D199" s="1"/>
      <c r="E199" s="1"/>
    </row>
    <row r="200" spans="1:6" ht="13.5" thickBot="1" x14ac:dyDescent="0.25">
      <c r="A200" s="28"/>
      <c r="B200" s="8"/>
      <c r="C200" s="8"/>
      <c r="D200" s="1"/>
      <c r="E200" s="1"/>
    </row>
    <row r="201" spans="1:6" ht="13.5" thickBot="1" x14ac:dyDescent="0.25">
      <c r="A201" s="118"/>
      <c r="B201" s="119" t="s">
        <v>0</v>
      </c>
      <c r="C201" s="120">
        <f>C202</f>
        <v>0</v>
      </c>
    </row>
    <row r="202" spans="1:6" x14ac:dyDescent="0.2">
      <c r="A202" s="74"/>
      <c r="B202" s="77"/>
      <c r="C202" s="75"/>
    </row>
    <row r="203" spans="1:6" ht="13.5" thickBot="1" x14ac:dyDescent="0.25">
      <c r="A203" s="24"/>
      <c r="B203" s="13"/>
      <c r="C203" s="76"/>
    </row>
    <row r="204" spans="1:6" x14ac:dyDescent="0.2">
      <c r="A204" s="25"/>
    </row>
    <row r="205" spans="1:6" x14ac:dyDescent="0.2">
      <c r="A205" s="25"/>
    </row>
    <row r="206" spans="1:6" x14ac:dyDescent="0.2">
      <c r="A206" s="25"/>
    </row>
    <row r="207" spans="1:6" x14ac:dyDescent="0.2">
      <c r="A207" s="25"/>
    </row>
    <row r="208" spans="1:6" x14ac:dyDescent="0.2">
      <c r="A208" s="25"/>
    </row>
    <row r="209" spans="1:1" x14ac:dyDescent="0.2">
      <c r="A209" s="25"/>
    </row>
    <row r="210" spans="1:1" x14ac:dyDescent="0.2">
      <c r="A210" s="25"/>
    </row>
    <row r="211" spans="1:1" x14ac:dyDescent="0.2">
      <c r="A211" s="25"/>
    </row>
    <row r="212" spans="1:1" x14ac:dyDescent="0.2">
      <c r="A212" s="25"/>
    </row>
    <row r="213" spans="1:1" x14ac:dyDescent="0.2">
      <c r="A213" s="25"/>
    </row>
    <row r="214" spans="1:1" x14ac:dyDescent="0.2">
      <c r="A214" s="25"/>
    </row>
    <row r="215" spans="1:1" x14ac:dyDescent="0.2">
      <c r="A215" s="25"/>
    </row>
    <row r="216" spans="1:1" x14ac:dyDescent="0.2">
      <c r="A216" s="25"/>
    </row>
    <row r="217" spans="1:1" x14ac:dyDescent="0.2">
      <c r="A217" s="25"/>
    </row>
    <row r="218" spans="1:1" x14ac:dyDescent="0.2">
      <c r="A218" s="25"/>
    </row>
    <row r="219" spans="1:1" x14ac:dyDescent="0.2">
      <c r="A219" s="25"/>
    </row>
    <row r="220" spans="1:1" x14ac:dyDescent="0.2">
      <c r="A220" s="25"/>
    </row>
    <row r="221" spans="1:1" x14ac:dyDescent="0.2">
      <c r="A221" s="25"/>
    </row>
  </sheetData>
  <mergeCells count="1">
    <mergeCell ref="A2:B2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D228"/>
  <sheetViews>
    <sheetView topLeftCell="A149" workbookViewId="0">
      <selection activeCell="B158" sqref="B158"/>
    </sheetView>
  </sheetViews>
  <sheetFormatPr defaultRowHeight="12.75" x14ac:dyDescent="0.2"/>
  <cols>
    <col min="1" max="1" width="10.140625" style="22" bestFit="1" customWidth="1"/>
    <col min="2" max="2" width="84.28515625" customWidth="1"/>
    <col min="3" max="3" width="18.42578125" customWidth="1"/>
    <col min="4" max="7" width="10.140625" bestFit="1" customWidth="1"/>
  </cols>
  <sheetData>
    <row r="1" spans="1:3" ht="13.5" thickBot="1" x14ac:dyDescent="0.25">
      <c r="A1"/>
    </row>
    <row r="2" spans="1:3" ht="13.5" thickBot="1" x14ac:dyDescent="0.25">
      <c r="A2" s="147" t="s">
        <v>66</v>
      </c>
      <c r="B2" s="148"/>
      <c r="C2" s="20">
        <f>C4+C93</f>
        <v>1084325.4899999998</v>
      </c>
    </row>
    <row r="3" spans="1:3" ht="13.5" thickBot="1" x14ac:dyDescent="0.25">
      <c r="A3" s="16" t="s">
        <v>20</v>
      </c>
      <c r="B3" s="15" t="s">
        <v>21</v>
      </c>
      <c r="C3" s="17" t="s">
        <v>22</v>
      </c>
    </row>
    <row r="4" spans="1:3" ht="13.5" thickBot="1" x14ac:dyDescent="0.25">
      <c r="A4" s="114"/>
      <c r="B4" s="115" t="s">
        <v>23</v>
      </c>
      <c r="C4" s="116">
        <f>C5+C10+C18+C22+C28+C37+C45+C52+C61+C67+C75+C78+C81</f>
        <v>320226</v>
      </c>
    </row>
    <row r="5" spans="1:3" x14ac:dyDescent="0.2">
      <c r="A5" s="10"/>
      <c r="B5" s="112" t="s">
        <v>36</v>
      </c>
      <c r="C5" s="113">
        <f>SUM(C6:C8)</f>
        <v>0</v>
      </c>
    </row>
    <row r="6" spans="1:3" x14ac:dyDescent="0.2">
      <c r="A6" s="70"/>
      <c r="B6" s="57"/>
      <c r="C6" s="69"/>
    </row>
    <row r="7" spans="1:3" x14ac:dyDescent="0.2">
      <c r="A7" s="70"/>
      <c r="B7" s="57"/>
      <c r="C7" s="69"/>
    </row>
    <row r="8" spans="1:3" ht="13.5" thickBot="1" x14ac:dyDescent="0.25">
      <c r="A8" s="12"/>
      <c r="B8" s="13"/>
      <c r="C8" s="14"/>
    </row>
    <row r="9" spans="1:3" ht="13.5" thickBot="1" x14ac:dyDescent="0.25">
      <c r="A9" s="21"/>
      <c r="B9" s="11"/>
      <c r="C9" s="29"/>
    </row>
    <row r="10" spans="1:3" x14ac:dyDescent="0.2">
      <c r="A10" s="10"/>
      <c r="B10" s="112" t="s">
        <v>47</v>
      </c>
      <c r="C10" s="113">
        <f>SUM(C11:C16)</f>
        <v>0</v>
      </c>
    </row>
    <row r="11" spans="1:3" x14ac:dyDescent="0.2">
      <c r="A11" s="70"/>
      <c r="B11" s="72"/>
      <c r="C11" s="69"/>
    </row>
    <row r="12" spans="1:3" x14ac:dyDescent="0.2">
      <c r="A12" s="70"/>
      <c r="B12" s="72"/>
      <c r="C12" s="69"/>
    </row>
    <row r="13" spans="1:3" x14ac:dyDescent="0.2">
      <c r="A13" s="70"/>
      <c r="B13" s="72"/>
      <c r="C13" s="69"/>
    </row>
    <row r="14" spans="1:3" x14ac:dyDescent="0.2">
      <c r="A14" s="70"/>
      <c r="B14" s="72"/>
      <c r="C14" s="69"/>
    </row>
    <row r="15" spans="1:3" x14ac:dyDescent="0.2">
      <c r="A15" s="70"/>
      <c r="B15" s="72"/>
      <c r="C15" s="69"/>
    </row>
    <row r="16" spans="1:3" ht="13.5" thickBot="1" x14ac:dyDescent="0.25">
      <c r="A16" s="59"/>
      <c r="B16" s="13"/>
      <c r="C16" s="14"/>
    </row>
    <row r="17" spans="1:3" ht="13.5" thickBot="1" x14ac:dyDescent="0.25">
      <c r="A17" s="107"/>
      <c r="B17" s="11"/>
      <c r="C17" s="29"/>
    </row>
    <row r="18" spans="1:3" x14ac:dyDescent="0.2">
      <c r="A18" s="10"/>
      <c r="B18" s="112" t="s">
        <v>48</v>
      </c>
      <c r="C18" s="113">
        <f>SUM(C19:C20)</f>
        <v>0</v>
      </c>
    </row>
    <row r="19" spans="1:3" x14ac:dyDescent="0.2">
      <c r="A19" s="70"/>
      <c r="B19" s="72"/>
      <c r="C19" s="69"/>
    </row>
    <row r="20" spans="1:3" ht="13.5" thickBot="1" x14ac:dyDescent="0.25">
      <c r="A20" s="59"/>
      <c r="B20" s="98"/>
      <c r="C20" s="83"/>
    </row>
    <row r="21" spans="1:3" ht="13.5" thickBot="1" x14ac:dyDescent="0.25">
      <c r="A21" s="2"/>
      <c r="C21" s="4"/>
    </row>
    <row r="22" spans="1:3" x14ac:dyDescent="0.2">
      <c r="A22" s="10"/>
      <c r="B22" s="112" t="s">
        <v>24</v>
      </c>
      <c r="C22" s="113">
        <f>SUM(C23:C26)</f>
        <v>0</v>
      </c>
    </row>
    <row r="23" spans="1:3" x14ac:dyDescent="0.2">
      <c r="A23" s="70"/>
      <c r="B23" s="57"/>
      <c r="C23" s="69"/>
    </row>
    <row r="24" spans="1:3" x14ac:dyDescent="0.2">
      <c r="A24" s="70"/>
      <c r="B24" s="57"/>
      <c r="C24" s="69"/>
    </row>
    <row r="25" spans="1:3" x14ac:dyDescent="0.2">
      <c r="A25" s="70"/>
      <c r="B25" s="57"/>
      <c r="C25" s="69"/>
    </row>
    <row r="26" spans="1:3" ht="13.5" thickBot="1" x14ac:dyDescent="0.25">
      <c r="A26" s="12"/>
      <c r="B26" s="13"/>
      <c r="C26" s="14"/>
    </row>
    <row r="27" spans="1:3" ht="13.5" thickBot="1" x14ac:dyDescent="0.25">
      <c r="A27" s="2"/>
      <c r="C27" s="4"/>
    </row>
    <row r="28" spans="1:3" x14ac:dyDescent="0.2">
      <c r="A28" s="10"/>
      <c r="B28" s="112" t="s">
        <v>25</v>
      </c>
      <c r="C28" s="113">
        <f>SUM(C29:C35)</f>
        <v>300601.64</v>
      </c>
    </row>
    <row r="29" spans="1:3" x14ac:dyDescent="0.2">
      <c r="A29" s="84" t="s">
        <v>220</v>
      </c>
      <c r="B29" s="57" t="s">
        <v>221</v>
      </c>
      <c r="C29" s="71">
        <v>300601.64</v>
      </c>
    </row>
    <row r="30" spans="1:3" x14ac:dyDescent="0.2">
      <c r="A30" s="70"/>
      <c r="B30" s="57"/>
      <c r="C30" s="71"/>
    </row>
    <row r="31" spans="1:3" x14ac:dyDescent="0.2">
      <c r="A31" s="70"/>
      <c r="B31" s="57"/>
      <c r="C31" s="69"/>
    </row>
    <row r="32" spans="1:3" x14ac:dyDescent="0.2">
      <c r="A32" s="70"/>
      <c r="B32" s="57"/>
      <c r="C32" s="69"/>
    </row>
    <row r="33" spans="1:3" x14ac:dyDescent="0.2">
      <c r="A33" s="70"/>
      <c r="B33" s="57"/>
      <c r="C33" s="69"/>
    </row>
    <row r="34" spans="1:3" x14ac:dyDescent="0.2">
      <c r="A34" s="70"/>
      <c r="B34" s="57"/>
      <c r="C34" s="69"/>
    </row>
    <row r="35" spans="1:3" ht="13.5" thickBot="1" x14ac:dyDescent="0.25">
      <c r="A35" s="88"/>
      <c r="B35" s="18"/>
      <c r="C35" s="14"/>
    </row>
    <row r="36" spans="1:3" ht="13.5" thickBot="1" x14ac:dyDescent="0.25">
      <c r="A36" s="2"/>
      <c r="C36" s="4"/>
    </row>
    <row r="37" spans="1:3" x14ac:dyDescent="0.2">
      <c r="A37" s="10"/>
      <c r="B37" s="112" t="s">
        <v>19</v>
      </c>
      <c r="C37" s="113">
        <f>SUM(C38:C43)</f>
        <v>18195.060000000001</v>
      </c>
    </row>
    <row r="38" spans="1:3" x14ac:dyDescent="0.2">
      <c r="A38" s="84" t="s">
        <v>220</v>
      </c>
      <c r="B38" s="57" t="s">
        <v>222</v>
      </c>
      <c r="C38" s="69">
        <v>18195.060000000001</v>
      </c>
    </row>
    <row r="39" spans="1:3" x14ac:dyDescent="0.2">
      <c r="A39" s="70"/>
      <c r="B39" s="57"/>
      <c r="C39" s="69"/>
    </row>
    <row r="40" spans="1:3" x14ac:dyDescent="0.2">
      <c r="A40" s="70"/>
      <c r="B40" s="57"/>
      <c r="C40" s="69"/>
    </row>
    <row r="41" spans="1:3" x14ac:dyDescent="0.2">
      <c r="A41" s="70"/>
      <c r="B41" s="57"/>
      <c r="C41" s="69"/>
    </row>
    <row r="42" spans="1:3" x14ac:dyDescent="0.2">
      <c r="A42" s="70"/>
      <c r="B42" s="57"/>
      <c r="C42" s="69"/>
    </row>
    <row r="43" spans="1:3" ht="13.5" thickBot="1" x14ac:dyDescent="0.25">
      <c r="A43" s="59"/>
      <c r="B43" s="13"/>
      <c r="C43" s="14"/>
    </row>
    <row r="44" spans="1:3" ht="13.5" thickBot="1" x14ac:dyDescent="0.25">
      <c r="A44" s="2"/>
      <c r="C44" s="4"/>
    </row>
    <row r="45" spans="1:3" x14ac:dyDescent="0.2">
      <c r="A45" s="10"/>
      <c r="B45" s="112" t="s">
        <v>58</v>
      </c>
      <c r="C45" s="113">
        <f>SUM(C46:C50)</f>
        <v>0</v>
      </c>
    </row>
    <row r="46" spans="1:3" x14ac:dyDescent="0.2">
      <c r="A46" s="70"/>
      <c r="B46" s="57"/>
      <c r="C46" s="69"/>
    </row>
    <row r="47" spans="1:3" x14ac:dyDescent="0.2">
      <c r="A47" s="70"/>
      <c r="B47" s="57"/>
      <c r="C47" s="69"/>
    </row>
    <row r="48" spans="1:3" x14ac:dyDescent="0.2">
      <c r="A48" s="84"/>
      <c r="B48" s="57"/>
      <c r="C48" s="69"/>
    </row>
    <row r="49" spans="1:3" x14ac:dyDescent="0.2">
      <c r="A49" s="70"/>
      <c r="B49" s="57"/>
      <c r="C49" s="69"/>
    </row>
    <row r="50" spans="1:3" ht="13.5" thickBot="1" x14ac:dyDescent="0.25">
      <c r="A50" s="12"/>
      <c r="B50" s="61"/>
      <c r="C50" s="14"/>
    </row>
    <row r="51" spans="1:3" ht="13.5" thickBot="1" x14ac:dyDescent="0.25">
      <c r="A51" s="2"/>
    </row>
    <row r="52" spans="1:3" x14ac:dyDescent="0.2">
      <c r="A52" s="10"/>
      <c r="B52" s="112" t="s">
        <v>55</v>
      </c>
      <c r="C52" s="113">
        <f>SUM(C53:C59)</f>
        <v>0</v>
      </c>
    </row>
    <row r="53" spans="1:3" x14ac:dyDescent="0.2">
      <c r="A53" s="70"/>
      <c r="B53" s="57"/>
      <c r="C53" s="69"/>
    </row>
    <row r="54" spans="1:3" x14ac:dyDescent="0.2">
      <c r="A54" s="70"/>
      <c r="B54" s="57"/>
      <c r="C54" s="69"/>
    </row>
    <row r="55" spans="1:3" x14ac:dyDescent="0.2">
      <c r="A55" s="70"/>
      <c r="B55" s="57"/>
      <c r="C55" s="69"/>
    </row>
    <row r="56" spans="1:3" x14ac:dyDescent="0.2">
      <c r="A56" s="70"/>
      <c r="B56" s="57"/>
      <c r="C56" s="69"/>
    </row>
    <row r="57" spans="1:3" x14ac:dyDescent="0.2">
      <c r="A57" s="70"/>
      <c r="B57" s="57"/>
      <c r="C57" s="69"/>
    </row>
    <row r="58" spans="1:3" x14ac:dyDescent="0.2">
      <c r="A58" s="70"/>
      <c r="B58" s="57"/>
      <c r="C58" s="69"/>
    </row>
    <row r="59" spans="1:3" ht="13.5" thickBot="1" x14ac:dyDescent="0.25">
      <c r="A59" s="12"/>
      <c r="B59" s="58"/>
      <c r="C59" s="14"/>
    </row>
    <row r="60" spans="1:3" ht="13.5" thickBot="1" x14ac:dyDescent="0.25">
      <c r="A60" s="21"/>
      <c r="B60" s="57"/>
      <c r="C60" s="29"/>
    </row>
    <row r="61" spans="1:3" x14ac:dyDescent="0.2">
      <c r="A61" s="10"/>
      <c r="B61" s="112" t="s">
        <v>56</v>
      </c>
      <c r="C61" s="113">
        <f>SUM(C62:C65)</f>
        <v>0</v>
      </c>
    </row>
    <row r="62" spans="1:3" x14ac:dyDescent="0.2">
      <c r="A62" s="70"/>
      <c r="B62" s="57"/>
      <c r="C62" s="69"/>
    </row>
    <row r="63" spans="1:3" x14ac:dyDescent="0.2">
      <c r="A63" s="70"/>
      <c r="B63" s="57"/>
      <c r="C63" s="69"/>
    </row>
    <row r="64" spans="1:3" x14ac:dyDescent="0.2">
      <c r="A64" s="70"/>
      <c r="B64" s="57"/>
      <c r="C64" s="69"/>
    </row>
    <row r="65" spans="1:3" ht="13.5" thickBot="1" x14ac:dyDescent="0.25">
      <c r="A65" s="12"/>
      <c r="B65" s="58"/>
      <c r="C65" s="14"/>
    </row>
    <row r="66" spans="1:3" ht="13.5" thickBot="1" x14ac:dyDescent="0.25">
      <c r="A66" s="21"/>
      <c r="B66" s="57"/>
      <c r="C66" s="29"/>
    </row>
    <row r="67" spans="1:3" x14ac:dyDescent="0.2">
      <c r="A67" s="10"/>
      <c r="B67" s="112" t="s">
        <v>41</v>
      </c>
      <c r="C67" s="113">
        <f>SUM(C68:C73)</f>
        <v>0</v>
      </c>
    </row>
    <row r="68" spans="1:3" x14ac:dyDescent="0.2">
      <c r="A68" s="94"/>
      <c r="B68" s="57"/>
      <c r="C68" s="69"/>
    </row>
    <row r="69" spans="1:3" x14ac:dyDescent="0.2">
      <c r="A69" s="94"/>
      <c r="B69" s="57"/>
      <c r="C69" s="69"/>
    </row>
    <row r="70" spans="1:3" x14ac:dyDescent="0.2">
      <c r="A70" s="94"/>
      <c r="B70" s="57"/>
      <c r="C70" s="69"/>
    </row>
    <row r="71" spans="1:3" x14ac:dyDescent="0.2">
      <c r="A71" s="94"/>
      <c r="B71" s="57"/>
      <c r="C71" s="69"/>
    </row>
    <row r="72" spans="1:3" x14ac:dyDescent="0.2">
      <c r="A72" s="94"/>
      <c r="B72" s="57"/>
      <c r="C72" s="69"/>
    </row>
    <row r="73" spans="1:3" ht="13.5" thickBot="1" x14ac:dyDescent="0.25">
      <c r="A73" s="12"/>
      <c r="B73" s="58"/>
      <c r="C73" s="14"/>
    </row>
    <row r="74" spans="1:3" ht="13.5" thickBot="1" x14ac:dyDescent="0.25">
      <c r="A74" s="2"/>
    </row>
    <row r="75" spans="1:3" x14ac:dyDescent="0.2">
      <c r="A75" s="10"/>
      <c r="B75" s="112" t="s">
        <v>28</v>
      </c>
      <c r="C75" s="113">
        <f>C76</f>
        <v>0</v>
      </c>
    </row>
    <row r="76" spans="1:3" ht="13.5" thickBot="1" x14ac:dyDescent="0.25">
      <c r="A76" s="59"/>
      <c r="B76" s="13"/>
      <c r="C76" s="14"/>
    </row>
    <row r="77" spans="1:3" ht="13.5" thickBot="1" x14ac:dyDescent="0.25">
      <c r="A77" s="2"/>
    </row>
    <row r="78" spans="1:3" x14ac:dyDescent="0.2">
      <c r="A78" s="10"/>
      <c r="B78" s="112" t="s">
        <v>57</v>
      </c>
      <c r="C78" s="113">
        <f>C79</f>
        <v>0</v>
      </c>
    </row>
    <row r="79" spans="1:3" ht="13.5" thickBot="1" x14ac:dyDescent="0.25">
      <c r="A79" s="88"/>
      <c r="B79" s="58"/>
      <c r="C79" s="14"/>
    </row>
    <row r="80" spans="1:3" ht="13.5" thickBot="1" x14ac:dyDescent="0.25">
      <c r="A80" s="2"/>
    </row>
    <row r="81" spans="1:3" x14ac:dyDescent="0.2">
      <c r="A81" s="10"/>
      <c r="B81" s="112" t="s">
        <v>27</v>
      </c>
      <c r="C81" s="113">
        <f>SUM(C82:C90)</f>
        <v>1429.3</v>
      </c>
    </row>
    <row r="82" spans="1:3" x14ac:dyDescent="0.2">
      <c r="A82" s="70" t="s">
        <v>158</v>
      </c>
      <c r="B82" s="57" t="s">
        <v>159</v>
      </c>
      <c r="C82" s="71">
        <v>1429.3</v>
      </c>
    </row>
    <row r="83" spans="1:3" x14ac:dyDescent="0.2">
      <c r="A83" s="73"/>
      <c r="B83" s="57"/>
      <c r="C83" s="81"/>
    </row>
    <row r="84" spans="1:3" x14ac:dyDescent="0.2">
      <c r="A84" s="73"/>
      <c r="B84" s="57"/>
      <c r="C84" s="81"/>
    </row>
    <row r="85" spans="1:3" x14ac:dyDescent="0.2">
      <c r="A85" s="73"/>
      <c r="B85" s="57"/>
      <c r="C85" s="81"/>
    </row>
    <row r="86" spans="1:3" x14ac:dyDescent="0.2">
      <c r="A86" s="73"/>
      <c r="B86" s="57"/>
      <c r="C86" s="81"/>
    </row>
    <row r="87" spans="1:3" x14ac:dyDescent="0.2">
      <c r="A87" s="73"/>
      <c r="B87" s="57"/>
      <c r="C87" s="81"/>
    </row>
    <row r="88" spans="1:3" x14ac:dyDescent="0.2">
      <c r="A88" s="73"/>
      <c r="B88" s="57"/>
      <c r="C88" s="81"/>
    </row>
    <row r="89" spans="1:3" x14ac:dyDescent="0.2">
      <c r="A89" s="73"/>
      <c r="B89" s="57"/>
      <c r="C89" s="81"/>
    </row>
    <row r="90" spans="1:3" ht="13.5" thickBot="1" x14ac:dyDescent="0.25">
      <c r="A90" s="59"/>
      <c r="B90" s="13"/>
      <c r="C90" s="14"/>
    </row>
    <row r="91" spans="1:3" x14ac:dyDescent="0.2">
      <c r="A91" s="2"/>
      <c r="B91" s="7"/>
    </row>
    <row r="92" spans="1:3" ht="13.5" thickBot="1" x14ac:dyDescent="0.25">
      <c r="A92" s="9"/>
      <c r="B92" s="8"/>
      <c r="C92" s="8"/>
    </row>
    <row r="93" spans="1:3" ht="13.5" thickBot="1" x14ac:dyDescent="0.25">
      <c r="A93" s="114"/>
      <c r="B93" s="115" t="s">
        <v>29</v>
      </c>
      <c r="C93" s="116">
        <f>C94+C102+C108+C111+C116+C119+C122+C126+C131+C134+C137+C140+C144+C153+C162+C169+C174+C215</f>
        <v>764099.48999999987</v>
      </c>
    </row>
    <row r="94" spans="1:3" x14ac:dyDescent="0.2">
      <c r="A94" s="10"/>
      <c r="B94" s="112" t="s">
        <v>26</v>
      </c>
      <c r="C94" s="113">
        <f>SUM(C95:C100)</f>
        <v>0</v>
      </c>
    </row>
    <row r="95" spans="1:3" x14ac:dyDescent="0.2">
      <c r="A95" s="84"/>
      <c r="B95" s="57"/>
      <c r="C95" s="69"/>
    </row>
    <row r="96" spans="1:3" x14ac:dyDescent="0.2">
      <c r="A96" s="70"/>
      <c r="B96" s="57"/>
      <c r="C96" s="69"/>
    </row>
    <row r="97" spans="1:3" x14ac:dyDescent="0.2">
      <c r="A97" s="70"/>
      <c r="B97" s="57"/>
      <c r="C97" s="69"/>
    </row>
    <row r="98" spans="1:3" x14ac:dyDescent="0.2">
      <c r="A98" s="70"/>
      <c r="B98" s="57"/>
      <c r="C98" s="69"/>
    </row>
    <row r="99" spans="1:3" x14ac:dyDescent="0.2">
      <c r="A99" s="70"/>
      <c r="B99" s="57"/>
      <c r="C99" s="69"/>
    </row>
    <row r="100" spans="1:3" ht="13.5" thickBot="1" x14ac:dyDescent="0.25">
      <c r="A100" s="12"/>
      <c r="B100" s="13"/>
      <c r="C100" s="14"/>
    </row>
    <row r="101" spans="1:3" ht="13.5" thickBot="1" x14ac:dyDescent="0.25">
      <c r="A101" s="2"/>
      <c r="C101" s="4"/>
    </row>
    <row r="102" spans="1:3" x14ac:dyDescent="0.2">
      <c r="A102" s="10"/>
      <c r="B102" s="112" t="s">
        <v>53</v>
      </c>
      <c r="C102" s="113">
        <f>SUM(C103:C106)</f>
        <v>0</v>
      </c>
    </row>
    <row r="103" spans="1:3" x14ac:dyDescent="0.2">
      <c r="A103" s="70"/>
      <c r="B103" s="57"/>
      <c r="C103" s="69"/>
    </row>
    <row r="104" spans="1:3" x14ac:dyDescent="0.2">
      <c r="A104" s="70"/>
      <c r="B104" s="57"/>
      <c r="C104" s="69"/>
    </row>
    <row r="105" spans="1:3" x14ac:dyDescent="0.2">
      <c r="A105" s="70"/>
      <c r="B105" s="57"/>
      <c r="C105" s="69"/>
    </row>
    <row r="106" spans="1:3" ht="13.5" thickBot="1" x14ac:dyDescent="0.25">
      <c r="A106" s="12"/>
      <c r="B106" s="61"/>
      <c r="C106" s="14"/>
    </row>
    <row r="107" spans="1:3" ht="13.5" thickBot="1" x14ac:dyDescent="0.25">
      <c r="A107" s="21"/>
      <c r="B107" s="60"/>
      <c r="C107" s="29"/>
    </row>
    <row r="108" spans="1:3" x14ac:dyDescent="0.2">
      <c r="A108" s="10"/>
      <c r="B108" s="112" t="s">
        <v>51</v>
      </c>
      <c r="C108" s="113">
        <f>SUM(C109)</f>
        <v>0</v>
      </c>
    </row>
    <row r="109" spans="1:3" ht="13.5" thickBot="1" x14ac:dyDescent="0.25">
      <c r="A109" s="12"/>
      <c r="B109" s="61"/>
      <c r="C109" s="14"/>
    </row>
    <row r="110" spans="1:3" ht="13.5" thickBot="1" x14ac:dyDescent="0.25">
      <c r="A110" s="21"/>
      <c r="B110" s="60"/>
      <c r="C110" s="29"/>
    </row>
    <row r="111" spans="1:3" x14ac:dyDescent="0.2">
      <c r="A111" s="10"/>
      <c r="B111" s="112" t="s">
        <v>49</v>
      </c>
      <c r="C111" s="113">
        <f>SUM(C112:C114)</f>
        <v>0</v>
      </c>
    </row>
    <row r="112" spans="1:3" x14ac:dyDescent="0.2">
      <c r="A112" s="70"/>
      <c r="B112" s="57"/>
      <c r="C112" s="71"/>
    </row>
    <row r="113" spans="1:3" x14ac:dyDescent="0.2">
      <c r="A113" s="70"/>
      <c r="B113" s="57"/>
      <c r="C113" s="71"/>
    </row>
    <row r="114" spans="1:3" ht="13.5" thickBot="1" x14ac:dyDescent="0.25">
      <c r="A114" s="59"/>
      <c r="B114" s="58"/>
      <c r="C114" s="14"/>
    </row>
    <row r="115" spans="1:3" ht="13.5" thickBot="1" x14ac:dyDescent="0.25">
      <c r="A115" s="107"/>
      <c r="B115" s="57"/>
      <c r="C115" s="29"/>
    </row>
    <row r="116" spans="1:3" x14ac:dyDescent="0.2">
      <c r="A116" s="10"/>
      <c r="B116" s="112" t="s">
        <v>75</v>
      </c>
      <c r="C116" s="113">
        <f>SUM(C117)</f>
        <v>4958.28</v>
      </c>
    </row>
    <row r="117" spans="1:3" ht="13.5" thickBot="1" x14ac:dyDescent="0.25">
      <c r="A117" s="59" t="s">
        <v>148</v>
      </c>
      <c r="B117" s="58" t="s">
        <v>149</v>
      </c>
      <c r="C117" s="14">
        <v>4958.28</v>
      </c>
    </row>
    <row r="118" spans="1:3" ht="13.5" thickBot="1" x14ac:dyDescent="0.25">
      <c r="A118" s="2"/>
    </row>
    <row r="119" spans="1:3" x14ac:dyDescent="0.2">
      <c r="A119" s="10"/>
      <c r="B119" s="112" t="s">
        <v>77</v>
      </c>
      <c r="C119" s="113">
        <f>C120</f>
        <v>273225.53999999998</v>
      </c>
    </row>
    <row r="120" spans="1:3" ht="13.5" thickBot="1" x14ac:dyDescent="0.25">
      <c r="A120" s="12" t="s">
        <v>146</v>
      </c>
      <c r="B120" s="13" t="s">
        <v>147</v>
      </c>
      <c r="C120" s="14">
        <v>273225.53999999998</v>
      </c>
    </row>
    <row r="121" spans="1:3" ht="13.5" thickBot="1" x14ac:dyDescent="0.25">
      <c r="A121" s="2"/>
      <c r="C121" s="1"/>
    </row>
    <row r="122" spans="1:3" x14ac:dyDescent="0.2">
      <c r="A122" s="10"/>
      <c r="B122" s="112" t="s">
        <v>78</v>
      </c>
      <c r="C122" s="113">
        <f>SUM(C123:C124)</f>
        <v>400220.14</v>
      </c>
    </row>
    <row r="123" spans="1:3" x14ac:dyDescent="0.2">
      <c r="A123" s="82" t="s">
        <v>216</v>
      </c>
      <c r="B123" s="57" t="s">
        <v>217</v>
      </c>
      <c r="C123" s="71">
        <v>201205.51</v>
      </c>
    </row>
    <row r="124" spans="1:3" ht="13.5" thickBot="1" x14ac:dyDescent="0.25">
      <c r="A124" s="12" t="s">
        <v>144</v>
      </c>
      <c r="B124" s="18" t="s">
        <v>145</v>
      </c>
      <c r="C124" s="14">
        <v>199014.63</v>
      </c>
    </row>
    <row r="125" spans="1:3" ht="13.5" thickBot="1" x14ac:dyDescent="0.25">
      <c r="A125" s="2"/>
      <c r="C125" s="4"/>
    </row>
    <row r="126" spans="1:3" x14ac:dyDescent="0.2">
      <c r="A126" s="10"/>
      <c r="B126" s="112" t="s">
        <v>30</v>
      </c>
      <c r="C126" s="113">
        <f>SUM(C127:C129)</f>
        <v>0</v>
      </c>
    </row>
    <row r="127" spans="1:3" x14ac:dyDescent="0.2">
      <c r="A127" s="70"/>
      <c r="B127" s="57"/>
      <c r="C127" s="69"/>
    </row>
    <row r="128" spans="1:3" x14ac:dyDescent="0.2">
      <c r="A128" s="70"/>
      <c r="B128" s="57"/>
      <c r="C128" s="69"/>
    </row>
    <row r="129" spans="1:3" ht="13.5" thickBot="1" x14ac:dyDescent="0.25">
      <c r="A129" s="59"/>
      <c r="B129" s="13"/>
      <c r="C129" s="14"/>
    </row>
    <row r="130" spans="1:3" ht="13.5" thickBot="1" x14ac:dyDescent="0.25">
      <c r="A130" s="2"/>
      <c r="C130" s="4"/>
    </row>
    <row r="131" spans="1:3" x14ac:dyDescent="0.2">
      <c r="A131" s="10"/>
      <c r="B131" s="112" t="s">
        <v>18</v>
      </c>
      <c r="C131" s="113">
        <f>SUM(C132:C132)</f>
        <v>0</v>
      </c>
    </row>
    <row r="132" spans="1:3" ht="13.5" thickBot="1" x14ac:dyDescent="0.25">
      <c r="A132" s="59"/>
      <c r="B132" s="13"/>
      <c r="C132" s="14"/>
    </row>
    <row r="133" spans="1:3" ht="13.5" thickBot="1" x14ac:dyDescent="0.25">
      <c r="A133" s="2"/>
      <c r="C133" s="1"/>
    </row>
    <row r="134" spans="1:3" x14ac:dyDescent="0.2">
      <c r="A134" s="10"/>
      <c r="B134" s="112" t="s">
        <v>31</v>
      </c>
      <c r="C134" s="113">
        <f>SUM(C135:C135)</f>
        <v>0</v>
      </c>
    </row>
    <row r="135" spans="1:3" ht="13.5" thickBot="1" x14ac:dyDescent="0.25">
      <c r="A135" s="59"/>
      <c r="B135" s="13"/>
      <c r="C135" s="14"/>
    </row>
    <row r="136" spans="1:3" ht="13.5" thickBot="1" x14ac:dyDescent="0.25">
      <c r="A136" s="5"/>
      <c r="C136" s="1"/>
    </row>
    <row r="137" spans="1:3" x14ac:dyDescent="0.2">
      <c r="A137" s="10"/>
      <c r="B137" s="112" t="s">
        <v>32</v>
      </c>
      <c r="C137" s="113">
        <f>C138</f>
        <v>0</v>
      </c>
    </row>
    <row r="138" spans="1:3" ht="13.5" thickBot="1" x14ac:dyDescent="0.25">
      <c r="A138" s="12"/>
      <c r="B138" s="58"/>
      <c r="C138" s="14"/>
    </row>
    <row r="139" spans="1:3" ht="13.5" thickBot="1" x14ac:dyDescent="0.25">
      <c r="A139" s="2"/>
    </row>
    <row r="140" spans="1:3" x14ac:dyDescent="0.2">
      <c r="A140" s="10"/>
      <c r="B140" s="112" t="s">
        <v>33</v>
      </c>
      <c r="C140" s="113">
        <f>SUM(C141:C142)</f>
        <v>0</v>
      </c>
    </row>
    <row r="141" spans="1:3" x14ac:dyDescent="0.2">
      <c r="A141" s="70"/>
      <c r="B141" s="57"/>
      <c r="C141" s="69"/>
    </row>
    <row r="142" spans="1:3" ht="13.5" thickBot="1" x14ac:dyDescent="0.25">
      <c r="A142" s="59"/>
      <c r="B142" s="58"/>
      <c r="C142" s="14"/>
    </row>
    <row r="143" spans="1:3" ht="13.5" thickBot="1" x14ac:dyDescent="0.25">
      <c r="A143" s="2"/>
    </row>
    <row r="144" spans="1:3" x14ac:dyDescent="0.2">
      <c r="A144" s="10"/>
      <c r="B144" s="112" t="s">
        <v>34</v>
      </c>
      <c r="C144" s="113">
        <f>SUM(C145:C151)</f>
        <v>1145.98</v>
      </c>
    </row>
    <row r="145" spans="1:3" x14ac:dyDescent="0.2">
      <c r="A145" s="70" t="s">
        <v>158</v>
      </c>
      <c r="B145" s="91" t="s">
        <v>191</v>
      </c>
      <c r="C145" s="71">
        <v>1145.98</v>
      </c>
    </row>
    <row r="146" spans="1:3" x14ac:dyDescent="0.2">
      <c r="A146" s="70"/>
      <c r="B146" s="91"/>
      <c r="C146" s="71"/>
    </row>
    <row r="147" spans="1:3" x14ac:dyDescent="0.2">
      <c r="A147" s="70"/>
      <c r="B147" s="91"/>
      <c r="C147" s="69"/>
    </row>
    <row r="148" spans="1:3" x14ac:dyDescent="0.2">
      <c r="A148" s="70"/>
      <c r="B148" s="91"/>
      <c r="C148" s="69"/>
    </row>
    <row r="149" spans="1:3" x14ac:dyDescent="0.2">
      <c r="A149" s="70"/>
      <c r="B149" s="91"/>
      <c r="C149" s="69"/>
    </row>
    <row r="150" spans="1:3" x14ac:dyDescent="0.2">
      <c r="A150" s="70"/>
      <c r="B150" s="91"/>
      <c r="C150" s="69"/>
    </row>
    <row r="151" spans="1:3" ht="13.5" thickBot="1" x14ac:dyDescent="0.25">
      <c r="A151" s="59"/>
      <c r="B151" s="13"/>
      <c r="C151" s="14"/>
    </row>
    <row r="152" spans="1:3" ht="13.5" thickBot="1" x14ac:dyDescent="0.25">
      <c r="A152" s="2"/>
      <c r="C152" s="1"/>
    </row>
    <row r="153" spans="1:3" x14ac:dyDescent="0.2">
      <c r="A153" s="10"/>
      <c r="B153" s="112" t="s">
        <v>35</v>
      </c>
      <c r="C153" s="113">
        <f>SUM(C154:C160)</f>
        <v>7090.07</v>
      </c>
    </row>
    <row r="154" spans="1:3" x14ac:dyDescent="0.2">
      <c r="A154" s="70" t="s">
        <v>148</v>
      </c>
      <c r="B154" s="57" t="s">
        <v>195</v>
      </c>
      <c r="C154" s="69">
        <v>1200</v>
      </c>
    </row>
    <row r="155" spans="1:3" x14ac:dyDescent="0.2">
      <c r="A155" s="70" t="s">
        <v>148</v>
      </c>
      <c r="B155" s="57" t="s">
        <v>196</v>
      </c>
      <c r="C155" s="69">
        <v>1931.44</v>
      </c>
    </row>
    <row r="156" spans="1:3" x14ac:dyDescent="0.2">
      <c r="A156" s="70" t="s">
        <v>265</v>
      </c>
      <c r="B156" s="57" t="s">
        <v>266</v>
      </c>
      <c r="C156" s="69">
        <v>2258.63</v>
      </c>
    </row>
    <row r="157" spans="1:3" x14ac:dyDescent="0.2">
      <c r="A157" s="70" t="s">
        <v>265</v>
      </c>
      <c r="B157" s="57" t="s">
        <v>267</v>
      </c>
      <c r="C157" s="69">
        <v>1000</v>
      </c>
    </row>
    <row r="158" spans="1:3" x14ac:dyDescent="0.2">
      <c r="A158" s="70" t="s">
        <v>242</v>
      </c>
      <c r="B158" s="57" t="s">
        <v>268</v>
      </c>
      <c r="C158" s="69">
        <v>700</v>
      </c>
    </row>
    <row r="159" spans="1:3" x14ac:dyDescent="0.2">
      <c r="A159" s="70"/>
      <c r="B159" s="57"/>
      <c r="C159" s="69"/>
    </row>
    <row r="160" spans="1:3" ht="13.5" thickBot="1" x14ac:dyDescent="0.25">
      <c r="A160" s="59"/>
      <c r="B160" s="13"/>
      <c r="C160" s="14"/>
    </row>
    <row r="161" spans="1:4" ht="13.5" thickBot="1" x14ac:dyDescent="0.25">
      <c r="A161" s="2"/>
      <c r="C161" s="1"/>
    </row>
    <row r="162" spans="1:4" x14ac:dyDescent="0.2">
      <c r="A162" s="10"/>
      <c r="B162" s="112" t="s">
        <v>37</v>
      </c>
      <c r="C162" s="113">
        <f>SUM(C163:C167)</f>
        <v>0</v>
      </c>
    </row>
    <row r="163" spans="1:4" x14ac:dyDescent="0.2">
      <c r="A163" s="70"/>
      <c r="B163" s="57"/>
      <c r="C163" s="69"/>
    </row>
    <row r="164" spans="1:4" x14ac:dyDescent="0.2">
      <c r="A164" s="70"/>
      <c r="B164" s="57"/>
      <c r="C164" s="69"/>
    </row>
    <row r="165" spans="1:4" x14ac:dyDescent="0.2">
      <c r="A165" s="70"/>
      <c r="B165" s="57"/>
      <c r="C165" s="69"/>
    </row>
    <row r="166" spans="1:4" x14ac:dyDescent="0.2">
      <c r="A166" s="70"/>
      <c r="B166" s="57"/>
      <c r="C166" s="69"/>
    </row>
    <row r="167" spans="1:4" ht="13.5" thickBot="1" x14ac:dyDescent="0.25">
      <c r="A167" s="59"/>
      <c r="B167" s="13"/>
      <c r="C167" s="14"/>
      <c r="D167" s="1"/>
    </row>
    <row r="168" spans="1:4" ht="13.5" thickBot="1" x14ac:dyDescent="0.25">
      <c r="A168" s="21"/>
      <c r="B168" s="11"/>
      <c r="C168" s="29"/>
    </row>
    <row r="169" spans="1:4" x14ac:dyDescent="0.2">
      <c r="A169" s="10"/>
      <c r="B169" s="112" t="s">
        <v>54</v>
      </c>
      <c r="C169" s="113">
        <f>SUM(C170:C172)</f>
        <v>0</v>
      </c>
    </row>
    <row r="170" spans="1:4" x14ac:dyDescent="0.2">
      <c r="A170" s="70"/>
      <c r="B170" s="57"/>
      <c r="C170" s="69"/>
    </row>
    <row r="171" spans="1:4" x14ac:dyDescent="0.2">
      <c r="A171" s="70"/>
      <c r="B171" s="57"/>
      <c r="C171" s="69"/>
    </row>
    <row r="172" spans="1:4" ht="13.5" thickBot="1" x14ac:dyDescent="0.25">
      <c r="A172" s="12"/>
      <c r="B172" s="61"/>
      <c r="C172" s="14"/>
    </row>
    <row r="173" spans="1:4" ht="13.5" thickBot="1" x14ac:dyDescent="0.25">
      <c r="A173" s="26"/>
      <c r="B173" s="57"/>
      <c r="C173" s="29"/>
    </row>
    <row r="174" spans="1:4" x14ac:dyDescent="0.2">
      <c r="A174" s="23"/>
      <c r="B174" s="112" t="s">
        <v>38</v>
      </c>
      <c r="C174" s="113">
        <f>SUM(C175:C213)</f>
        <v>77459.48</v>
      </c>
    </row>
    <row r="175" spans="1:4" x14ac:dyDescent="0.2">
      <c r="A175" s="73" t="s">
        <v>146</v>
      </c>
      <c r="B175" s="57" t="s">
        <v>165</v>
      </c>
      <c r="C175" s="69">
        <v>300</v>
      </c>
    </row>
    <row r="176" spans="1:4" x14ac:dyDescent="0.2">
      <c r="A176" s="73" t="s">
        <v>146</v>
      </c>
      <c r="B176" s="57" t="s">
        <v>166</v>
      </c>
      <c r="C176" s="69">
        <v>300</v>
      </c>
    </row>
    <row r="177" spans="1:3" x14ac:dyDescent="0.2">
      <c r="A177" s="73" t="s">
        <v>158</v>
      </c>
      <c r="B177" s="57" t="s">
        <v>178</v>
      </c>
      <c r="C177" s="69">
        <v>300</v>
      </c>
    </row>
    <row r="178" spans="1:3" x14ac:dyDescent="0.2">
      <c r="A178" s="73" t="s">
        <v>158</v>
      </c>
      <c r="B178" s="57" t="s">
        <v>179</v>
      </c>
      <c r="C178" s="69">
        <v>300</v>
      </c>
    </row>
    <row r="179" spans="1:3" x14ac:dyDescent="0.2">
      <c r="A179" s="73" t="s">
        <v>158</v>
      </c>
      <c r="B179" s="57" t="s">
        <v>182</v>
      </c>
      <c r="C179" s="69">
        <v>300</v>
      </c>
    </row>
    <row r="180" spans="1:3" x14ac:dyDescent="0.2">
      <c r="A180" s="73" t="s">
        <v>158</v>
      </c>
      <c r="B180" s="57" t="s">
        <v>183</v>
      </c>
      <c r="C180" s="69">
        <v>300</v>
      </c>
    </row>
    <row r="181" spans="1:3" x14ac:dyDescent="0.2">
      <c r="A181" s="73" t="s">
        <v>158</v>
      </c>
      <c r="B181" s="57" t="s">
        <v>184</v>
      </c>
      <c r="C181" s="69">
        <v>300</v>
      </c>
    </row>
    <row r="182" spans="1:3" x14ac:dyDescent="0.2">
      <c r="A182" s="96" t="s">
        <v>241</v>
      </c>
      <c r="B182" s="57" t="s">
        <v>240</v>
      </c>
      <c r="C182" s="69">
        <v>6266.59</v>
      </c>
    </row>
    <row r="183" spans="1:3" x14ac:dyDescent="0.2">
      <c r="A183" s="73" t="s">
        <v>242</v>
      </c>
      <c r="B183" s="57" t="s">
        <v>243</v>
      </c>
      <c r="C183" s="69">
        <v>7154</v>
      </c>
    </row>
    <row r="184" spans="1:3" x14ac:dyDescent="0.2">
      <c r="A184" s="73" t="s">
        <v>242</v>
      </c>
      <c r="B184" s="57" t="s">
        <v>244</v>
      </c>
      <c r="C184" s="69">
        <v>1285</v>
      </c>
    </row>
    <row r="185" spans="1:3" x14ac:dyDescent="0.2">
      <c r="A185" s="73" t="s">
        <v>246</v>
      </c>
      <c r="B185" s="57" t="s">
        <v>247</v>
      </c>
      <c r="C185" s="69">
        <v>7890</v>
      </c>
    </row>
    <row r="186" spans="1:3" x14ac:dyDescent="0.2">
      <c r="A186" s="73" t="s">
        <v>246</v>
      </c>
      <c r="B186" s="57" t="s">
        <v>245</v>
      </c>
      <c r="C186" s="69">
        <v>1312</v>
      </c>
    </row>
    <row r="187" spans="1:3" x14ac:dyDescent="0.2">
      <c r="A187" s="73" t="s">
        <v>246</v>
      </c>
      <c r="B187" s="57" t="s">
        <v>248</v>
      </c>
      <c r="C187" s="69">
        <v>8640</v>
      </c>
    </row>
    <row r="188" spans="1:3" x14ac:dyDescent="0.2">
      <c r="A188" s="73" t="s">
        <v>246</v>
      </c>
      <c r="B188" s="57" t="s">
        <v>249</v>
      </c>
      <c r="C188" s="69">
        <v>1105</v>
      </c>
    </row>
    <row r="189" spans="1:3" x14ac:dyDescent="0.2">
      <c r="A189" s="73" t="s">
        <v>246</v>
      </c>
      <c r="B189" s="57" t="s">
        <v>250</v>
      </c>
      <c r="C189" s="69">
        <v>6159</v>
      </c>
    </row>
    <row r="190" spans="1:3" x14ac:dyDescent="0.2">
      <c r="A190" s="73" t="s">
        <v>246</v>
      </c>
      <c r="B190" s="57" t="s">
        <v>251</v>
      </c>
      <c r="C190" s="69">
        <f>513+576</f>
        <v>1089</v>
      </c>
    </row>
    <row r="191" spans="1:3" x14ac:dyDescent="0.2">
      <c r="A191" s="73" t="s">
        <v>246</v>
      </c>
      <c r="B191" s="57" t="s">
        <v>252</v>
      </c>
      <c r="C191" s="69">
        <v>5409</v>
      </c>
    </row>
    <row r="192" spans="1:3" x14ac:dyDescent="0.2">
      <c r="A192" s="73" t="s">
        <v>246</v>
      </c>
      <c r="B192" s="57" t="s">
        <v>253</v>
      </c>
      <c r="C192" s="69">
        <v>1089</v>
      </c>
    </row>
    <row r="193" spans="1:3" x14ac:dyDescent="0.2">
      <c r="A193" s="73" t="s">
        <v>246</v>
      </c>
      <c r="B193" s="57" t="s">
        <v>254</v>
      </c>
      <c r="C193" s="69">
        <v>5409</v>
      </c>
    </row>
    <row r="194" spans="1:3" x14ac:dyDescent="0.2">
      <c r="A194" s="73" t="s">
        <v>246</v>
      </c>
      <c r="B194" s="57" t="s">
        <v>255</v>
      </c>
      <c r="C194" s="69">
        <v>1087</v>
      </c>
    </row>
    <row r="195" spans="1:3" x14ac:dyDescent="0.2">
      <c r="A195" s="73" t="s">
        <v>246</v>
      </c>
      <c r="B195" s="57" t="s">
        <v>256</v>
      </c>
      <c r="C195" s="69">
        <v>6159</v>
      </c>
    </row>
    <row r="196" spans="1:3" x14ac:dyDescent="0.2">
      <c r="A196" s="73" t="s">
        <v>246</v>
      </c>
      <c r="B196" s="57" t="s">
        <v>257</v>
      </c>
      <c r="C196" s="69">
        <v>1089</v>
      </c>
    </row>
    <row r="197" spans="1:3" x14ac:dyDescent="0.2">
      <c r="A197" s="73" t="s">
        <v>246</v>
      </c>
      <c r="B197" s="57" t="s">
        <v>258</v>
      </c>
      <c r="C197" s="69">
        <v>5409</v>
      </c>
    </row>
    <row r="198" spans="1:3" x14ac:dyDescent="0.2">
      <c r="A198" s="73" t="s">
        <v>246</v>
      </c>
      <c r="B198" s="57" t="s">
        <v>259</v>
      </c>
      <c r="C198" s="69">
        <f>576+513</f>
        <v>1089</v>
      </c>
    </row>
    <row r="199" spans="1:3" x14ac:dyDescent="0.2">
      <c r="A199" s="73" t="s">
        <v>246</v>
      </c>
      <c r="B199" s="57" t="s">
        <v>260</v>
      </c>
      <c r="C199" s="69">
        <v>5409</v>
      </c>
    </row>
    <row r="200" spans="1:3" x14ac:dyDescent="0.2">
      <c r="A200" s="73" t="s">
        <v>246</v>
      </c>
      <c r="B200" s="57" t="s">
        <v>261</v>
      </c>
      <c r="C200" s="69">
        <f>1172+513</f>
        <v>1685</v>
      </c>
    </row>
    <row r="201" spans="1:3" x14ac:dyDescent="0.2">
      <c r="A201" s="73" t="s">
        <v>262</v>
      </c>
      <c r="B201" s="57" t="s">
        <v>263</v>
      </c>
      <c r="C201" s="69">
        <v>300</v>
      </c>
    </row>
    <row r="202" spans="1:3" x14ac:dyDescent="0.2">
      <c r="A202" s="73" t="s">
        <v>278</v>
      </c>
      <c r="B202" s="57" t="s">
        <v>279</v>
      </c>
      <c r="C202" s="69">
        <v>324.89</v>
      </c>
    </row>
    <row r="203" spans="1:3" x14ac:dyDescent="0.2">
      <c r="A203" s="73"/>
      <c r="B203" s="57"/>
      <c r="C203" s="69"/>
    </row>
    <row r="204" spans="1:3" x14ac:dyDescent="0.2">
      <c r="A204" s="73"/>
      <c r="B204" s="57"/>
      <c r="C204" s="69"/>
    </row>
    <row r="205" spans="1:3" x14ac:dyDescent="0.2">
      <c r="A205" s="73"/>
      <c r="B205" s="57"/>
      <c r="C205" s="69"/>
    </row>
    <row r="206" spans="1:3" x14ac:dyDescent="0.2">
      <c r="A206" s="73"/>
      <c r="B206" s="57"/>
      <c r="C206" s="69"/>
    </row>
    <row r="207" spans="1:3" x14ac:dyDescent="0.2">
      <c r="A207" s="73"/>
      <c r="B207" s="57"/>
      <c r="C207" s="69"/>
    </row>
    <row r="208" spans="1:3" x14ac:dyDescent="0.2">
      <c r="A208" s="73"/>
      <c r="B208" s="57"/>
      <c r="C208" s="69"/>
    </row>
    <row r="209" spans="1:3" x14ac:dyDescent="0.2">
      <c r="A209" s="73"/>
      <c r="B209" s="57"/>
      <c r="C209" s="69"/>
    </row>
    <row r="210" spans="1:3" x14ac:dyDescent="0.2">
      <c r="A210" s="73"/>
      <c r="B210" s="57"/>
      <c r="C210" s="69"/>
    </row>
    <row r="211" spans="1:3" x14ac:dyDescent="0.2">
      <c r="A211" s="73"/>
      <c r="B211" s="57"/>
      <c r="C211" s="69"/>
    </row>
    <row r="212" spans="1:3" x14ac:dyDescent="0.2">
      <c r="A212" s="73"/>
      <c r="B212" s="57"/>
      <c r="C212" s="69"/>
    </row>
    <row r="213" spans="1:3" ht="13.5" thickBot="1" x14ac:dyDescent="0.25">
      <c r="A213" s="24"/>
      <c r="B213" s="58"/>
      <c r="C213" s="14"/>
    </row>
    <row r="214" spans="1:3" ht="13.5" thickBot="1" x14ac:dyDescent="0.25">
      <c r="A214" s="26"/>
      <c r="B214" s="57"/>
      <c r="C214" s="29"/>
    </row>
    <row r="215" spans="1:3" x14ac:dyDescent="0.2">
      <c r="A215" s="10"/>
      <c r="B215" s="112" t="s">
        <v>27</v>
      </c>
      <c r="C215" s="113">
        <f>SUM(C216:C221)</f>
        <v>0</v>
      </c>
    </row>
    <row r="216" spans="1:3" x14ac:dyDescent="0.2">
      <c r="A216" s="70"/>
      <c r="B216" s="57"/>
      <c r="C216" s="69"/>
    </row>
    <row r="217" spans="1:3" x14ac:dyDescent="0.2">
      <c r="A217" s="70"/>
      <c r="B217" s="57"/>
      <c r="C217" s="69"/>
    </row>
    <row r="218" spans="1:3" x14ac:dyDescent="0.2">
      <c r="A218" s="70"/>
      <c r="B218" s="57"/>
      <c r="C218" s="69"/>
    </row>
    <row r="219" spans="1:3" x14ac:dyDescent="0.2">
      <c r="A219" s="70"/>
      <c r="B219" s="57"/>
      <c r="C219" s="69"/>
    </row>
    <row r="220" spans="1:3" x14ac:dyDescent="0.2">
      <c r="A220" s="70"/>
      <c r="B220" s="57"/>
      <c r="C220" s="69"/>
    </row>
    <row r="221" spans="1:3" ht="13.5" thickBot="1" x14ac:dyDescent="0.25">
      <c r="A221" s="59"/>
      <c r="B221" s="13"/>
      <c r="C221" s="14"/>
    </row>
    <row r="222" spans="1:3" x14ac:dyDescent="0.2">
      <c r="A222" s="2"/>
    </row>
    <row r="223" spans="1:3" ht="13.5" thickBot="1" x14ac:dyDescent="0.25">
      <c r="A223" s="28"/>
      <c r="B223" s="8"/>
      <c r="C223" s="8"/>
    </row>
    <row r="224" spans="1:3" ht="13.5" thickBot="1" x14ac:dyDescent="0.25">
      <c r="A224" s="118"/>
      <c r="B224" s="119" t="s">
        <v>0</v>
      </c>
      <c r="C224" s="120">
        <f>SUM(C225:C228)</f>
        <v>0</v>
      </c>
    </row>
    <row r="225" spans="1:3" x14ac:dyDescent="0.2">
      <c r="A225" s="74"/>
      <c r="B225" s="77"/>
      <c r="C225" s="75"/>
    </row>
    <row r="226" spans="1:3" x14ac:dyDescent="0.2">
      <c r="A226" s="102"/>
      <c r="B226" s="85"/>
      <c r="C226" s="71"/>
    </row>
    <row r="227" spans="1:3" x14ac:dyDescent="0.2">
      <c r="A227" s="101"/>
      <c r="B227" s="85"/>
      <c r="C227" s="71"/>
    </row>
    <row r="228" spans="1:3" ht="13.5" thickBot="1" x14ac:dyDescent="0.25">
      <c r="A228" s="24"/>
      <c r="B228" s="18"/>
      <c r="C228" s="76"/>
    </row>
  </sheetData>
  <mergeCells count="1">
    <mergeCell ref="A2:B2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209"/>
  <sheetViews>
    <sheetView topLeftCell="A176" workbookViewId="0">
      <selection activeCell="B198" sqref="B198"/>
    </sheetView>
  </sheetViews>
  <sheetFormatPr defaultRowHeight="12.75" x14ac:dyDescent="0.2"/>
  <cols>
    <col min="1" max="1" width="9.7109375" style="22" bestFit="1" customWidth="1"/>
    <col min="2" max="2" width="84.28515625" customWidth="1"/>
    <col min="3" max="3" width="18.42578125" customWidth="1"/>
    <col min="5" max="5" width="10.140625" bestFit="1" customWidth="1"/>
  </cols>
  <sheetData>
    <row r="1" spans="1:6" ht="13.5" thickBot="1" x14ac:dyDescent="0.25">
      <c r="A1"/>
    </row>
    <row r="2" spans="1:6" ht="13.5" thickBot="1" x14ac:dyDescent="0.25">
      <c r="A2" s="147" t="s">
        <v>67</v>
      </c>
      <c r="B2" s="148"/>
      <c r="C2" s="20">
        <f>C4+C95</f>
        <v>744699.78240000014</v>
      </c>
      <c r="D2" s="6"/>
      <c r="E2" s="6"/>
      <c r="F2" s="6"/>
    </row>
    <row r="3" spans="1:6" ht="13.5" thickBot="1" x14ac:dyDescent="0.25">
      <c r="A3" s="16" t="s">
        <v>20</v>
      </c>
      <c r="B3" s="15" t="s">
        <v>21</v>
      </c>
      <c r="C3" s="17" t="s">
        <v>22</v>
      </c>
    </row>
    <row r="4" spans="1:6" ht="13.5" thickBot="1" x14ac:dyDescent="0.25">
      <c r="A4" s="114"/>
      <c r="B4" s="115" t="s">
        <v>23</v>
      </c>
      <c r="C4" s="116">
        <f>C5+C9+C18+C26+C31+C40+C46+C54+C63+C70+C76+C82+C86</f>
        <v>44821.422400000003</v>
      </c>
    </row>
    <row r="5" spans="1:6" x14ac:dyDescent="0.2">
      <c r="A5" s="10"/>
      <c r="B5" s="112" t="s">
        <v>36</v>
      </c>
      <c r="C5" s="113">
        <f>SUM(C6:C7)</f>
        <v>0</v>
      </c>
    </row>
    <row r="6" spans="1:6" x14ac:dyDescent="0.2">
      <c r="A6" s="70"/>
      <c r="B6" s="57"/>
      <c r="C6" s="69"/>
    </row>
    <row r="7" spans="1:6" ht="13.5" thickBot="1" x14ac:dyDescent="0.25">
      <c r="A7" s="59"/>
      <c r="B7" s="13"/>
      <c r="C7" s="14"/>
      <c r="D7" s="1"/>
      <c r="E7" s="1"/>
    </row>
    <row r="8" spans="1:6" ht="13.5" thickBot="1" x14ac:dyDescent="0.25">
      <c r="A8" s="21"/>
      <c r="B8" s="11"/>
      <c r="C8" s="29"/>
      <c r="D8" s="1"/>
      <c r="E8" s="1"/>
    </row>
    <row r="9" spans="1:6" x14ac:dyDescent="0.2">
      <c r="A9" s="10"/>
      <c r="B9" s="112" t="s">
        <v>47</v>
      </c>
      <c r="C9" s="113">
        <f>SUM(C10:C16)</f>
        <v>7491.45</v>
      </c>
      <c r="D9" s="1"/>
      <c r="E9" s="1"/>
    </row>
    <row r="10" spans="1:6" x14ac:dyDescent="0.2">
      <c r="A10" s="70">
        <v>45070</v>
      </c>
      <c r="B10" s="57" t="s">
        <v>206</v>
      </c>
      <c r="C10" s="69">
        <f>2806.38+1700.07+2985</f>
        <v>7491.45</v>
      </c>
      <c r="D10" s="1"/>
      <c r="E10" s="1"/>
    </row>
    <row r="11" spans="1:6" x14ac:dyDescent="0.2">
      <c r="A11" s="70"/>
      <c r="B11" s="57"/>
      <c r="C11" s="69"/>
      <c r="D11" s="1"/>
      <c r="E11" s="1"/>
    </row>
    <row r="12" spans="1:6" x14ac:dyDescent="0.2">
      <c r="A12" s="70"/>
      <c r="B12" s="57"/>
      <c r="C12" s="69"/>
      <c r="D12" s="1"/>
      <c r="E12" s="1"/>
    </row>
    <row r="13" spans="1:6" x14ac:dyDescent="0.2">
      <c r="A13" s="70"/>
      <c r="B13" s="57"/>
      <c r="C13" s="69"/>
      <c r="D13" s="1"/>
      <c r="E13" s="1"/>
    </row>
    <row r="14" spans="1:6" x14ac:dyDescent="0.2">
      <c r="A14" s="70"/>
      <c r="B14" s="57"/>
      <c r="C14" s="69"/>
      <c r="D14" s="1"/>
      <c r="E14" s="1"/>
    </row>
    <row r="15" spans="1:6" x14ac:dyDescent="0.2">
      <c r="A15" s="70"/>
      <c r="B15" s="57"/>
      <c r="C15" s="69"/>
      <c r="D15" s="1"/>
      <c r="E15" s="1"/>
    </row>
    <row r="16" spans="1:6" ht="13.5" thickBot="1" x14ac:dyDescent="0.25">
      <c r="A16" s="12"/>
      <c r="B16" s="13"/>
      <c r="C16" s="14"/>
      <c r="D16" s="1"/>
      <c r="E16" s="1"/>
    </row>
    <row r="17" spans="1:5" ht="13.5" thickBot="1" x14ac:dyDescent="0.25">
      <c r="A17" s="21"/>
      <c r="B17" s="11"/>
      <c r="C17" s="29"/>
      <c r="D17" s="1"/>
      <c r="E17" s="1"/>
    </row>
    <row r="18" spans="1:5" x14ac:dyDescent="0.2">
      <c r="A18" s="10"/>
      <c r="B18" s="112" t="s">
        <v>48</v>
      </c>
      <c r="C18" s="113">
        <f>SUM(C19:C24)</f>
        <v>1212.72</v>
      </c>
      <c r="D18" s="1"/>
      <c r="E18" s="1"/>
    </row>
    <row r="19" spans="1:5" x14ac:dyDescent="0.2">
      <c r="A19" s="70">
        <v>45070</v>
      </c>
      <c r="B19" s="57" t="s">
        <v>205</v>
      </c>
      <c r="C19" s="71">
        <v>1212.72</v>
      </c>
      <c r="D19" s="1"/>
      <c r="E19" s="1"/>
    </row>
    <row r="20" spans="1:5" x14ac:dyDescent="0.2">
      <c r="A20" s="70"/>
      <c r="B20" s="57"/>
      <c r="C20" s="71"/>
      <c r="D20" s="1"/>
      <c r="E20" s="1"/>
    </row>
    <row r="21" spans="1:5" x14ac:dyDescent="0.2">
      <c r="A21" s="70"/>
      <c r="B21" s="57"/>
      <c r="C21" s="71"/>
      <c r="D21" s="1"/>
      <c r="E21" s="1"/>
    </row>
    <row r="22" spans="1:5" x14ac:dyDescent="0.2">
      <c r="A22" s="70"/>
      <c r="B22" s="57"/>
      <c r="C22" s="71"/>
      <c r="D22" s="1"/>
      <c r="E22" s="1"/>
    </row>
    <row r="23" spans="1:5" x14ac:dyDescent="0.2">
      <c r="A23" s="70"/>
      <c r="B23" s="57"/>
      <c r="C23" s="71"/>
      <c r="D23" s="1"/>
      <c r="E23" s="1"/>
    </row>
    <row r="24" spans="1:5" ht="13.5" thickBot="1" x14ac:dyDescent="0.25">
      <c r="A24" s="59"/>
      <c r="B24" s="13"/>
      <c r="C24" s="14"/>
      <c r="D24" s="1"/>
      <c r="E24" s="1"/>
    </row>
    <row r="25" spans="1:5" ht="13.5" thickBot="1" x14ac:dyDescent="0.25">
      <c r="A25" s="2"/>
      <c r="C25" s="4"/>
      <c r="D25" s="1"/>
      <c r="E25" s="1"/>
    </row>
    <row r="26" spans="1:5" x14ac:dyDescent="0.2">
      <c r="A26" s="10"/>
      <c r="B26" s="112" t="s">
        <v>24</v>
      </c>
      <c r="C26" s="113">
        <f>SUM(C27:C29)</f>
        <v>0</v>
      </c>
      <c r="D26" s="1"/>
      <c r="E26" s="1"/>
    </row>
    <row r="27" spans="1:5" x14ac:dyDescent="0.2">
      <c r="A27" s="70"/>
      <c r="B27" s="57"/>
      <c r="C27" s="69"/>
      <c r="D27" s="1"/>
      <c r="E27" s="1"/>
    </row>
    <row r="28" spans="1:5" x14ac:dyDescent="0.2">
      <c r="A28" s="70"/>
      <c r="B28" s="57"/>
      <c r="C28" s="69"/>
      <c r="D28" s="1"/>
      <c r="E28" s="1"/>
    </row>
    <row r="29" spans="1:5" ht="13.5" thickBot="1" x14ac:dyDescent="0.25">
      <c r="A29" s="12"/>
      <c r="B29" s="13"/>
      <c r="C29" s="14"/>
      <c r="D29" s="1"/>
      <c r="E29" s="1"/>
    </row>
    <row r="30" spans="1:5" ht="13.5" thickBot="1" x14ac:dyDescent="0.25">
      <c r="A30" s="2"/>
      <c r="C30" s="4"/>
    </row>
    <row r="31" spans="1:5" x14ac:dyDescent="0.2">
      <c r="A31" s="10"/>
      <c r="B31" s="112" t="s">
        <v>25</v>
      </c>
      <c r="C31" s="113">
        <f>SUM(C32:C38)</f>
        <v>0</v>
      </c>
      <c r="D31" s="1"/>
      <c r="E31" s="1"/>
    </row>
    <row r="32" spans="1:5" x14ac:dyDescent="0.2">
      <c r="A32" s="70"/>
      <c r="B32" s="57"/>
      <c r="C32" s="71"/>
      <c r="D32" s="1"/>
      <c r="E32" s="1"/>
    </row>
    <row r="33" spans="1:6" x14ac:dyDescent="0.2">
      <c r="A33" s="70"/>
      <c r="B33" s="57"/>
      <c r="C33" s="71"/>
      <c r="D33" s="1"/>
      <c r="E33" s="1"/>
    </row>
    <row r="34" spans="1:6" x14ac:dyDescent="0.2">
      <c r="A34" s="70"/>
      <c r="B34" s="57"/>
      <c r="C34" s="71"/>
      <c r="D34" s="1"/>
      <c r="E34" s="1"/>
    </row>
    <row r="35" spans="1:6" x14ac:dyDescent="0.2">
      <c r="A35" s="70"/>
      <c r="B35" s="57"/>
      <c r="C35" s="71"/>
      <c r="D35" s="1"/>
      <c r="E35" s="1"/>
      <c r="F35" s="1"/>
    </row>
    <row r="36" spans="1:6" x14ac:dyDescent="0.2">
      <c r="A36" s="70"/>
      <c r="B36" s="57"/>
      <c r="C36" s="71"/>
      <c r="D36" s="1"/>
      <c r="E36" s="1"/>
      <c r="F36" s="1"/>
    </row>
    <row r="37" spans="1:6" x14ac:dyDescent="0.2">
      <c r="A37" s="70"/>
      <c r="B37" s="57"/>
      <c r="C37" s="71"/>
      <c r="D37" s="1"/>
      <c r="E37" s="1"/>
      <c r="F37" s="1"/>
    </row>
    <row r="38" spans="1:6" ht="13.5" thickBot="1" x14ac:dyDescent="0.25">
      <c r="A38" s="12"/>
      <c r="B38" s="13"/>
      <c r="C38" s="14"/>
    </row>
    <row r="39" spans="1:6" ht="13.5" thickBot="1" x14ac:dyDescent="0.25">
      <c r="A39" s="2"/>
      <c r="C39" s="4"/>
      <c r="D39" s="1"/>
      <c r="E39" s="1"/>
    </row>
    <row r="40" spans="1:6" x14ac:dyDescent="0.2">
      <c r="A40" s="10"/>
      <c r="B40" s="112" t="s">
        <v>19</v>
      </c>
      <c r="C40" s="113">
        <f>SUM(C41:C44)</f>
        <v>0</v>
      </c>
      <c r="D40" s="1"/>
      <c r="E40" s="1"/>
    </row>
    <row r="41" spans="1:6" x14ac:dyDescent="0.2">
      <c r="A41" s="70"/>
      <c r="B41" s="57"/>
      <c r="C41" s="69"/>
      <c r="D41" s="1"/>
      <c r="E41" s="1"/>
    </row>
    <row r="42" spans="1:6" x14ac:dyDescent="0.2">
      <c r="A42" s="70"/>
      <c r="B42" s="57"/>
      <c r="C42" s="69"/>
      <c r="D42" s="1"/>
      <c r="E42" s="1"/>
    </row>
    <row r="43" spans="1:6" x14ac:dyDescent="0.2">
      <c r="A43" s="70"/>
      <c r="B43" s="57"/>
      <c r="C43" s="69"/>
      <c r="D43" s="1"/>
      <c r="E43" s="1"/>
    </row>
    <row r="44" spans="1:6" ht="13.5" thickBot="1" x14ac:dyDescent="0.25">
      <c r="A44" s="59"/>
      <c r="B44" s="13"/>
      <c r="C44" s="14"/>
      <c r="D44" s="1"/>
      <c r="E44" s="1"/>
    </row>
    <row r="45" spans="1:6" ht="13.5" thickBot="1" x14ac:dyDescent="0.25">
      <c r="A45" s="2"/>
      <c r="C45" s="4"/>
      <c r="D45" s="1"/>
      <c r="E45" s="1"/>
      <c r="F45" s="4"/>
    </row>
    <row r="46" spans="1:6" x14ac:dyDescent="0.2">
      <c r="A46" s="10"/>
      <c r="B46" s="112" t="s">
        <v>58</v>
      </c>
      <c r="C46" s="113">
        <f>SUM(C47:C52)</f>
        <v>2300.6099999999997</v>
      </c>
    </row>
    <row r="47" spans="1:6" x14ac:dyDescent="0.2">
      <c r="A47" s="70">
        <v>45070</v>
      </c>
      <c r="B47" s="57" t="s">
        <v>207</v>
      </c>
      <c r="C47" s="69">
        <f>1135.61</f>
        <v>1135.6099999999999</v>
      </c>
    </row>
    <row r="48" spans="1:6" x14ac:dyDescent="0.2">
      <c r="A48" s="70">
        <v>45057</v>
      </c>
      <c r="B48" s="57" t="s">
        <v>458</v>
      </c>
      <c r="C48" s="69">
        <v>1165</v>
      </c>
    </row>
    <row r="49" spans="1:5" x14ac:dyDescent="0.2">
      <c r="A49" s="70"/>
      <c r="B49" s="57"/>
      <c r="C49" s="69"/>
    </row>
    <row r="50" spans="1:5" x14ac:dyDescent="0.2">
      <c r="A50" s="70"/>
      <c r="B50" s="57"/>
      <c r="C50" s="69"/>
    </row>
    <row r="51" spans="1:5" x14ac:dyDescent="0.2">
      <c r="A51" s="70"/>
      <c r="B51" s="57"/>
      <c r="C51" s="69"/>
    </row>
    <row r="52" spans="1:5" ht="13.5" thickBot="1" x14ac:dyDescent="0.25">
      <c r="A52" s="12"/>
      <c r="B52" s="61"/>
      <c r="C52" s="14"/>
    </row>
    <row r="53" spans="1:5" ht="13.5" thickBot="1" x14ac:dyDescent="0.25">
      <c r="A53" s="2"/>
      <c r="D53" s="1"/>
      <c r="E53" s="1"/>
    </row>
    <row r="54" spans="1:5" x14ac:dyDescent="0.2">
      <c r="A54" s="10"/>
      <c r="B54" s="112" t="s">
        <v>55</v>
      </c>
      <c r="C54" s="113">
        <f>SUM(C55:C61)</f>
        <v>16564.82</v>
      </c>
    </row>
    <row r="55" spans="1:5" x14ac:dyDescent="0.2">
      <c r="A55" s="70">
        <v>45068</v>
      </c>
      <c r="B55" s="57" t="s">
        <v>219</v>
      </c>
      <c r="C55" s="69">
        <v>16564.82</v>
      </c>
    </row>
    <row r="56" spans="1:5" x14ac:dyDescent="0.2">
      <c r="A56" s="70"/>
      <c r="B56" s="57"/>
      <c r="C56" s="71"/>
      <c r="E56" s="1"/>
    </row>
    <row r="57" spans="1:5" x14ac:dyDescent="0.2">
      <c r="A57" s="70"/>
      <c r="B57" s="57"/>
      <c r="C57" s="69"/>
    </row>
    <row r="58" spans="1:5" x14ac:dyDescent="0.2">
      <c r="A58" s="70"/>
      <c r="B58" s="57"/>
      <c r="C58" s="69"/>
    </row>
    <row r="59" spans="1:5" x14ac:dyDescent="0.2">
      <c r="A59" s="70"/>
      <c r="B59" s="57"/>
      <c r="C59" s="69"/>
    </row>
    <row r="60" spans="1:5" x14ac:dyDescent="0.2">
      <c r="A60" s="70"/>
      <c r="B60" s="57"/>
      <c r="C60" s="69"/>
    </row>
    <row r="61" spans="1:5" ht="13.5" thickBot="1" x14ac:dyDescent="0.25">
      <c r="A61" s="12"/>
      <c r="B61" s="58"/>
      <c r="C61" s="14"/>
    </row>
    <row r="62" spans="1:5" ht="13.5" thickBot="1" x14ac:dyDescent="0.25">
      <c r="A62" s="21"/>
      <c r="B62" s="57"/>
      <c r="C62" s="29"/>
    </row>
    <row r="63" spans="1:5" x14ac:dyDescent="0.2">
      <c r="A63" s="10"/>
      <c r="B63" s="112" t="s">
        <v>56</v>
      </c>
      <c r="C63" s="113">
        <f>SUM(C64:C68)</f>
        <v>0</v>
      </c>
      <c r="D63" s="1"/>
      <c r="E63" s="1"/>
    </row>
    <row r="64" spans="1:5" x14ac:dyDescent="0.2">
      <c r="A64" s="70"/>
      <c r="B64" s="57"/>
      <c r="C64" s="69"/>
      <c r="D64" s="1"/>
      <c r="E64" s="1"/>
    </row>
    <row r="65" spans="1:6" x14ac:dyDescent="0.2">
      <c r="A65" s="70"/>
      <c r="B65" s="57"/>
      <c r="C65" s="69"/>
      <c r="D65" s="1"/>
      <c r="E65" s="1"/>
    </row>
    <row r="66" spans="1:6" x14ac:dyDescent="0.2">
      <c r="A66" s="70"/>
      <c r="B66" s="57"/>
      <c r="C66" s="69"/>
      <c r="D66" s="1"/>
      <c r="E66" s="1"/>
    </row>
    <row r="67" spans="1:6" x14ac:dyDescent="0.2">
      <c r="A67" s="70"/>
      <c r="B67" s="57"/>
      <c r="C67" s="69"/>
      <c r="D67" s="1"/>
      <c r="E67" s="1"/>
    </row>
    <row r="68" spans="1:6" ht="13.5" thickBot="1" x14ac:dyDescent="0.25">
      <c r="A68" s="12"/>
      <c r="B68" s="58"/>
      <c r="C68" s="14"/>
    </row>
    <row r="69" spans="1:6" ht="13.5" thickBot="1" x14ac:dyDescent="0.25">
      <c r="A69" s="21"/>
      <c r="B69" s="57"/>
      <c r="C69" s="29"/>
    </row>
    <row r="70" spans="1:6" x14ac:dyDescent="0.2">
      <c r="A70" s="10"/>
      <c r="B70" s="112" t="s">
        <v>41</v>
      </c>
      <c r="C70" s="113">
        <f>SUM(C71:C74)</f>
        <v>0</v>
      </c>
    </row>
    <row r="71" spans="1:6" x14ac:dyDescent="0.2">
      <c r="A71" s="70"/>
      <c r="B71" s="57"/>
      <c r="C71" s="71"/>
    </row>
    <row r="72" spans="1:6" x14ac:dyDescent="0.2">
      <c r="A72" s="70"/>
      <c r="B72" s="57"/>
      <c r="C72" s="71"/>
    </row>
    <row r="73" spans="1:6" x14ac:dyDescent="0.2">
      <c r="A73" s="70"/>
      <c r="B73" s="57"/>
      <c r="C73" s="71"/>
    </row>
    <row r="74" spans="1:6" ht="13.5" thickBot="1" x14ac:dyDescent="0.25">
      <c r="A74" s="59"/>
      <c r="B74" s="58"/>
      <c r="C74" s="14"/>
    </row>
    <row r="75" spans="1:6" ht="13.5" thickBot="1" x14ac:dyDescent="0.25">
      <c r="A75" s="2"/>
    </row>
    <row r="76" spans="1:6" x14ac:dyDescent="0.2">
      <c r="A76" s="10"/>
      <c r="B76" s="112" t="s">
        <v>28</v>
      </c>
      <c r="C76" s="113">
        <f>SUM(C77:C80)</f>
        <v>11861.502400000001</v>
      </c>
    </row>
    <row r="77" spans="1:6" x14ac:dyDescent="0.2">
      <c r="A77" s="70">
        <v>45069</v>
      </c>
      <c r="B77" s="57" t="s">
        <v>218</v>
      </c>
      <c r="C77" s="71">
        <f>660.44*17.96</f>
        <v>11861.502400000001</v>
      </c>
    </row>
    <row r="78" spans="1:6" x14ac:dyDescent="0.2">
      <c r="A78" s="70"/>
      <c r="B78" s="57"/>
      <c r="C78" s="71"/>
    </row>
    <row r="79" spans="1:6" x14ac:dyDescent="0.2">
      <c r="A79" s="70"/>
      <c r="B79" s="57"/>
      <c r="C79" s="71"/>
      <c r="D79" s="1"/>
      <c r="E79" s="1"/>
    </row>
    <row r="80" spans="1:6" ht="13.5" thickBot="1" x14ac:dyDescent="0.25">
      <c r="A80" s="12"/>
      <c r="B80" s="13"/>
      <c r="C80" s="14"/>
      <c r="D80" s="1"/>
      <c r="E80" s="1"/>
      <c r="F80" s="4"/>
    </row>
    <row r="81" spans="1:6" ht="13.5" thickBot="1" x14ac:dyDescent="0.25">
      <c r="A81" s="2"/>
      <c r="D81" s="1"/>
      <c r="E81" s="1"/>
      <c r="F81" s="4"/>
    </row>
    <row r="82" spans="1:6" x14ac:dyDescent="0.2">
      <c r="A82" s="10"/>
      <c r="B82" s="112" t="s">
        <v>57</v>
      </c>
      <c r="C82" s="113">
        <f>SUM(C83:C84)</f>
        <v>0</v>
      </c>
    </row>
    <row r="83" spans="1:6" x14ac:dyDescent="0.2">
      <c r="A83" s="70"/>
      <c r="B83" s="57"/>
      <c r="C83" s="69"/>
      <c r="D83" s="1"/>
      <c r="E83" s="1"/>
    </row>
    <row r="84" spans="1:6" ht="13.5" thickBot="1" x14ac:dyDescent="0.25">
      <c r="A84" s="59"/>
      <c r="B84" s="58"/>
      <c r="C84" s="14"/>
      <c r="D84" s="1"/>
      <c r="E84" s="1"/>
    </row>
    <row r="85" spans="1:6" ht="13.5" thickBot="1" x14ac:dyDescent="0.25">
      <c r="A85" s="2"/>
      <c r="D85" s="1"/>
      <c r="E85" s="1"/>
      <c r="F85" s="4"/>
    </row>
    <row r="86" spans="1:6" x14ac:dyDescent="0.2">
      <c r="A86" s="10"/>
      <c r="B86" s="112" t="s">
        <v>27</v>
      </c>
      <c r="C86" s="113">
        <f>SUM(C87:C92)</f>
        <v>5390.32</v>
      </c>
    </row>
    <row r="87" spans="1:6" x14ac:dyDescent="0.2">
      <c r="A87" s="70">
        <v>45070</v>
      </c>
      <c r="B87" s="57" t="s">
        <v>209</v>
      </c>
      <c r="C87" s="69">
        <f>95.32+780+935</f>
        <v>1810.32</v>
      </c>
    </row>
    <row r="88" spans="1:6" x14ac:dyDescent="0.2">
      <c r="A88" s="70">
        <v>45057</v>
      </c>
      <c r="B88" s="57" t="s">
        <v>455</v>
      </c>
      <c r="C88" s="69">
        <v>3580</v>
      </c>
    </row>
    <row r="89" spans="1:6" x14ac:dyDescent="0.2">
      <c r="A89" s="70"/>
      <c r="B89" s="57"/>
      <c r="C89" s="69"/>
    </row>
    <row r="90" spans="1:6" x14ac:dyDescent="0.2">
      <c r="A90" s="70"/>
      <c r="B90" s="57"/>
      <c r="C90" s="69"/>
    </row>
    <row r="91" spans="1:6" x14ac:dyDescent="0.2">
      <c r="A91" s="70"/>
      <c r="B91" s="57"/>
      <c r="C91" s="69"/>
    </row>
    <row r="92" spans="1:6" ht="13.5" thickBot="1" x14ac:dyDescent="0.25">
      <c r="A92" s="59"/>
      <c r="B92" s="13"/>
      <c r="C92" s="14"/>
      <c r="D92" s="1"/>
      <c r="E92" s="1"/>
    </row>
    <row r="93" spans="1:6" x14ac:dyDescent="0.2">
      <c r="A93" s="2"/>
      <c r="B93" s="7"/>
      <c r="D93" s="1"/>
      <c r="E93" s="1"/>
      <c r="F93" s="4"/>
    </row>
    <row r="94" spans="1:6" ht="13.5" thickBot="1" x14ac:dyDescent="0.25">
      <c r="A94" s="9"/>
      <c r="B94" s="8"/>
      <c r="C94" s="8"/>
    </row>
    <row r="95" spans="1:6" ht="13.5" thickBot="1" x14ac:dyDescent="0.25">
      <c r="A95" s="114"/>
      <c r="B95" s="115" t="s">
        <v>29</v>
      </c>
      <c r="C95" s="116">
        <f>C96+C103+C109+C112+C117+C120+C124+C127+C132+C135+C138+C141+C144+C153+C159+C165+C170+C197</f>
        <v>699878.3600000001</v>
      </c>
      <c r="D95" s="1"/>
      <c r="E95" s="1"/>
    </row>
    <row r="96" spans="1:6" x14ac:dyDescent="0.2">
      <c r="A96" s="10"/>
      <c r="B96" s="112" t="s">
        <v>26</v>
      </c>
      <c r="C96" s="113">
        <f>SUM(C97:C101)</f>
        <v>234830.4</v>
      </c>
      <c r="D96" s="1"/>
      <c r="E96" s="1"/>
    </row>
    <row r="97" spans="1:5" x14ac:dyDescent="0.2">
      <c r="A97" s="70">
        <v>45068</v>
      </c>
      <c r="B97" s="57" t="s">
        <v>212</v>
      </c>
      <c r="C97" s="69">
        <v>234830.4</v>
      </c>
      <c r="D97" s="1"/>
      <c r="E97" s="1"/>
    </row>
    <row r="98" spans="1:5" x14ac:dyDescent="0.2">
      <c r="A98" s="70"/>
      <c r="B98" s="57"/>
      <c r="C98" s="69"/>
      <c r="D98" s="1"/>
      <c r="E98" s="1"/>
    </row>
    <row r="99" spans="1:5" x14ac:dyDescent="0.2">
      <c r="A99" s="70"/>
      <c r="B99" s="57"/>
      <c r="C99" s="69"/>
      <c r="D99" s="1"/>
      <c r="E99" s="1"/>
    </row>
    <row r="100" spans="1:5" x14ac:dyDescent="0.2">
      <c r="A100" s="70"/>
      <c r="B100" s="57"/>
      <c r="C100" s="69"/>
      <c r="D100" s="1"/>
      <c r="E100" s="1"/>
    </row>
    <row r="101" spans="1:5" ht="13.5" thickBot="1" x14ac:dyDescent="0.25">
      <c r="A101" s="12"/>
      <c r="B101" s="13"/>
      <c r="C101" s="14"/>
      <c r="D101" s="1"/>
      <c r="E101" s="1"/>
    </row>
    <row r="102" spans="1:5" ht="13.5" thickBot="1" x14ac:dyDescent="0.25">
      <c r="A102" s="2"/>
      <c r="C102" s="4"/>
      <c r="D102" s="1"/>
      <c r="E102" s="1"/>
    </row>
    <row r="103" spans="1:5" x14ac:dyDescent="0.2">
      <c r="A103" s="10"/>
      <c r="B103" s="112" t="s">
        <v>53</v>
      </c>
      <c r="C103" s="113">
        <f>SUM(C104:C107)</f>
        <v>0</v>
      </c>
      <c r="D103" s="1"/>
      <c r="E103" s="1"/>
    </row>
    <row r="104" spans="1:5" x14ac:dyDescent="0.2">
      <c r="A104" s="70"/>
      <c r="B104" s="57"/>
      <c r="C104" s="69"/>
      <c r="D104" s="1"/>
      <c r="E104" s="1"/>
    </row>
    <row r="105" spans="1:5" x14ac:dyDescent="0.2">
      <c r="A105" s="70"/>
      <c r="B105" s="57"/>
      <c r="C105" s="69"/>
    </row>
    <row r="106" spans="1:5" x14ac:dyDescent="0.2">
      <c r="A106" s="70"/>
      <c r="B106" s="57"/>
      <c r="C106" s="69"/>
    </row>
    <row r="107" spans="1:5" ht="13.5" thickBot="1" x14ac:dyDescent="0.25">
      <c r="A107" s="12"/>
      <c r="B107" s="61"/>
      <c r="C107" s="14"/>
    </row>
    <row r="108" spans="1:5" ht="13.5" thickBot="1" x14ac:dyDescent="0.25">
      <c r="A108" s="21"/>
      <c r="B108" s="60"/>
      <c r="C108" s="29"/>
    </row>
    <row r="109" spans="1:5" x14ac:dyDescent="0.2">
      <c r="A109" s="10"/>
      <c r="B109" s="112" t="s">
        <v>51</v>
      </c>
      <c r="C109" s="113">
        <f>SUM(C110)</f>
        <v>0</v>
      </c>
      <c r="D109" s="1"/>
      <c r="E109" s="1"/>
    </row>
    <row r="110" spans="1:5" ht="13.5" thickBot="1" x14ac:dyDescent="0.25">
      <c r="A110" s="59"/>
      <c r="B110" s="58"/>
      <c r="C110" s="14"/>
    </row>
    <row r="111" spans="1:5" ht="13.5" thickBot="1" x14ac:dyDescent="0.25">
      <c r="A111" s="21"/>
      <c r="B111" s="60"/>
      <c r="C111" s="29"/>
    </row>
    <row r="112" spans="1:5" x14ac:dyDescent="0.2">
      <c r="A112" s="10"/>
      <c r="B112" s="112" t="s">
        <v>49</v>
      </c>
      <c r="C112" s="113">
        <f>SUM(C113:C115)</f>
        <v>0</v>
      </c>
      <c r="D112" s="1"/>
      <c r="E112" s="1"/>
    </row>
    <row r="113" spans="1:6" x14ac:dyDescent="0.2">
      <c r="A113" s="70"/>
      <c r="B113" s="57"/>
      <c r="C113" s="71"/>
      <c r="D113" s="1"/>
      <c r="E113" s="1"/>
    </row>
    <row r="114" spans="1:6" x14ac:dyDescent="0.2">
      <c r="A114" s="70"/>
      <c r="B114" s="57"/>
      <c r="C114" s="71"/>
      <c r="D114" s="1"/>
      <c r="E114" s="1"/>
    </row>
    <row r="115" spans="1:6" ht="13.5" thickBot="1" x14ac:dyDescent="0.25">
      <c r="A115" s="59"/>
      <c r="B115" s="58"/>
      <c r="C115" s="14"/>
      <c r="D115" s="1"/>
      <c r="E115" s="1"/>
    </row>
    <row r="116" spans="1:6" ht="13.5" thickBot="1" x14ac:dyDescent="0.25">
      <c r="A116" s="107"/>
      <c r="B116" s="57"/>
      <c r="C116" s="29"/>
      <c r="D116" s="1"/>
      <c r="E116" s="1"/>
    </row>
    <row r="117" spans="1:6" x14ac:dyDescent="0.2">
      <c r="A117" s="10"/>
      <c r="B117" s="112" t="s">
        <v>75</v>
      </c>
      <c r="C117" s="113">
        <f>SUM(C118)</f>
        <v>2808</v>
      </c>
      <c r="D117" s="1"/>
      <c r="E117" s="1"/>
    </row>
    <row r="118" spans="1:6" ht="13.5" thickBot="1" x14ac:dyDescent="0.25">
      <c r="A118" s="59">
        <v>45057</v>
      </c>
      <c r="B118" s="58" t="s">
        <v>213</v>
      </c>
      <c r="C118" s="14">
        <v>2808</v>
      </c>
      <c r="D118" s="1"/>
      <c r="E118" s="1"/>
    </row>
    <row r="119" spans="1:6" ht="13.5" thickBot="1" x14ac:dyDescent="0.25">
      <c r="A119" s="2"/>
    </row>
    <row r="120" spans="1:6" x14ac:dyDescent="0.2">
      <c r="A120" s="10"/>
      <c r="B120" s="112" t="s">
        <v>77</v>
      </c>
      <c r="C120" s="113">
        <f>SUM(C121:C122)</f>
        <v>253369.62</v>
      </c>
      <c r="D120" s="1"/>
      <c r="E120" s="1"/>
      <c r="F120" s="4"/>
    </row>
    <row r="121" spans="1:6" x14ac:dyDescent="0.2">
      <c r="A121" s="70">
        <v>45054</v>
      </c>
      <c r="B121" s="57" t="s">
        <v>215</v>
      </c>
      <c r="C121" s="71">
        <v>253369.62</v>
      </c>
      <c r="D121" s="1"/>
      <c r="E121" s="1"/>
      <c r="F121" s="4"/>
    </row>
    <row r="122" spans="1:6" ht="13.5" thickBot="1" x14ac:dyDescent="0.25">
      <c r="A122" s="59"/>
      <c r="B122" s="13"/>
      <c r="C122" s="14"/>
    </row>
    <row r="123" spans="1:6" ht="13.5" thickBot="1" x14ac:dyDescent="0.25">
      <c r="A123" s="2"/>
      <c r="C123" s="1"/>
      <c r="D123" s="1"/>
      <c r="E123" s="1"/>
      <c r="F123" s="4"/>
    </row>
    <row r="124" spans="1:6" x14ac:dyDescent="0.2">
      <c r="A124" s="10"/>
      <c r="B124" s="112" t="s">
        <v>78</v>
      </c>
      <c r="C124" s="113">
        <f>C125</f>
        <v>0</v>
      </c>
    </row>
    <row r="125" spans="1:6" ht="13.5" thickBot="1" x14ac:dyDescent="0.25">
      <c r="A125" s="59"/>
      <c r="B125" s="18"/>
      <c r="C125" s="14"/>
    </row>
    <row r="126" spans="1:6" ht="13.5" thickBot="1" x14ac:dyDescent="0.25">
      <c r="A126" s="2"/>
      <c r="C126" s="4"/>
    </row>
    <row r="127" spans="1:6" x14ac:dyDescent="0.2">
      <c r="A127" s="10"/>
      <c r="B127" s="112" t="s">
        <v>30</v>
      </c>
      <c r="C127" s="113">
        <f>SUM(C128:C130)</f>
        <v>11600</v>
      </c>
      <c r="D127" s="1"/>
      <c r="E127" s="1"/>
    </row>
    <row r="128" spans="1:6" x14ac:dyDescent="0.2">
      <c r="A128" s="70">
        <v>45055</v>
      </c>
      <c r="B128" s="57" t="s">
        <v>214</v>
      </c>
      <c r="C128" s="69">
        <v>11600</v>
      </c>
    </row>
    <row r="129" spans="1:6" x14ac:dyDescent="0.2">
      <c r="A129" s="70"/>
      <c r="B129" s="57"/>
      <c r="C129" s="69"/>
    </row>
    <row r="130" spans="1:6" ht="13.5" thickBot="1" x14ac:dyDescent="0.25">
      <c r="A130" s="59"/>
      <c r="B130" s="13"/>
      <c r="C130" s="14"/>
    </row>
    <row r="131" spans="1:6" ht="13.5" thickBot="1" x14ac:dyDescent="0.25">
      <c r="A131" s="2"/>
      <c r="C131" s="4"/>
    </row>
    <row r="132" spans="1:6" x14ac:dyDescent="0.2">
      <c r="A132" s="10"/>
      <c r="B132" s="112" t="s">
        <v>18</v>
      </c>
      <c r="C132" s="113">
        <f>SUM(C133:C133)</f>
        <v>2811</v>
      </c>
      <c r="D132" s="1"/>
      <c r="E132" s="1"/>
      <c r="F132" s="4"/>
    </row>
    <row r="133" spans="1:6" ht="13.5" thickBot="1" x14ac:dyDescent="0.25">
      <c r="A133" s="59">
        <v>45061</v>
      </c>
      <c r="B133" s="13" t="s">
        <v>281</v>
      </c>
      <c r="C133" s="14">
        <v>2811</v>
      </c>
    </row>
    <row r="134" spans="1:6" ht="13.5" thickBot="1" x14ac:dyDescent="0.25">
      <c r="A134" s="2"/>
      <c r="C134" s="1"/>
      <c r="D134" s="1"/>
      <c r="E134" s="1"/>
      <c r="F134" s="4"/>
    </row>
    <row r="135" spans="1:6" x14ac:dyDescent="0.2">
      <c r="A135" s="10"/>
      <c r="B135" s="112" t="s">
        <v>31</v>
      </c>
      <c r="C135" s="113">
        <f>SUM(C136:C136)</f>
        <v>0</v>
      </c>
    </row>
    <row r="136" spans="1:6" ht="13.5" thickBot="1" x14ac:dyDescent="0.25">
      <c r="A136" s="95"/>
      <c r="B136" s="13"/>
      <c r="C136" s="14"/>
    </row>
    <row r="137" spans="1:6" ht="13.5" thickBot="1" x14ac:dyDescent="0.25">
      <c r="A137" s="5"/>
      <c r="C137" s="1"/>
    </row>
    <row r="138" spans="1:6" x14ac:dyDescent="0.2">
      <c r="A138" s="10"/>
      <c r="B138" s="112" t="s">
        <v>32</v>
      </c>
      <c r="C138" s="113">
        <f>SUM(C139:C139)</f>
        <v>60774.52</v>
      </c>
    </row>
    <row r="139" spans="1:6" ht="13.5" thickBot="1" x14ac:dyDescent="0.25">
      <c r="A139" s="105" t="s">
        <v>210</v>
      </c>
      <c r="B139" s="18" t="s">
        <v>211</v>
      </c>
      <c r="C139" s="76">
        <v>60774.52</v>
      </c>
    </row>
    <row r="140" spans="1:6" ht="13.5" thickBot="1" x14ac:dyDescent="0.25">
      <c r="A140" s="2"/>
      <c r="D140" s="1"/>
      <c r="E140" s="1"/>
    </row>
    <row r="141" spans="1:6" x14ac:dyDescent="0.2">
      <c r="A141" s="10"/>
      <c r="B141" s="112" t="s">
        <v>33</v>
      </c>
      <c r="C141" s="113">
        <f>C142</f>
        <v>0</v>
      </c>
      <c r="D141" s="1"/>
      <c r="E141" s="1"/>
    </row>
    <row r="142" spans="1:6" ht="13.5" thickBot="1" x14ac:dyDescent="0.25">
      <c r="A142" s="59"/>
      <c r="B142" s="58"/>
      <c r="C142" s="14"/>
      <c r="D142" s="1"/>
      <c r="E142" s="1"/>
    </row>
    <row r="143" spans="1:6" ht="13.5" thickBot="1" x14ac:dyDescent="0.25">
      <c r="A143" s="2"/>
    </row>
    <row r="144" spans="1:6" x14ac:dyDescent="0.2">
      <c r="A144" s="10"/>
      <c r="B144" s="112" t="s">
        <v>34</v>
      </c>
      <c r="C144" s="113">
        <f>SUM(C145:C151)</f>
        <v>1410.89</v>
      </c>
      <c r="D144" s="1"/>
      <c r="E144" s="1"/>
    </row>
    <row r="145" spans="1:5" x14ac:dyDescent="0.2">
      <c r="A145" s="70">
        <v>45058</v>
      </c>
      <c r="B145" s="91" t="s">
        <v>602</v>
      </c>
      <c r="C145" s="71">
        <v>1144.98</v>
      </c>
      <c r="D145" s="1"/>
      <c r="E145" s="1"/>
    </row>
    <row r="146" spans="1:5" x14ac:dyDescent="0.2">
      <c r="A146" s="70">
        <v>45076</v>
      </c>
      <c r="B146" s="91" t="s">
        <v>270</v>
      </c>
      <c r="C146" s="69">
        <v>265.91000000000003</v>
      </c>
      <c r="D146" s="1"/>
      <c r="E146" s="1"/>
    </row>
    <row r="147" spans="1:5" x14ac:dyDescent="0.2">
      <c r="A147" s="70"/>
      <c r="B147" s="91"/>
      <c r="C147" s="69"/>
      <c r="D147" s="1"/>
      <c r="E147" s="1"/>
    </row>
    <row r="148" spans="1:5" x14ac:dyDescent="0.2">
      <c r="A148" s="70"/>
      <c r="B148" s="91"/>
      <c r="C148" s="69"/>
      <c r="D148" s="1"/>
      <c r="E148" s="1"/>
    </row>
    <row r="149" spans="1:5" x14ac:dyDescent="0.2">
      <c r="A149" s="70"/>
      <c r="B149" s="146"/>
      <c r="C149" s="69"/>
      <c r="D149" s="1"/>
      <c r="E149" s="1"/>
    </row>
    <row r="150" spans="1:5" x14ac:dyDescent="0.2">
      <c r="A150" s="70"/>
      <c r="B150" s="57"/>
      <c r="C150" s="69"/>
      <c r="D150" s="1"/>
      <c r="E150" s="1"/>
    </row>
    <row r="151" spans="1:5" ht="13.5" thickBot="1" x14ac:dyDescent="0.25">
      <c r="A151" s="12"/>
      <c r="B151" s="13"/>
      <c r="C151" s="14"/>
      <c r="D151" s="1"/>
      <c r="E151" s="1"/>
    </row>
    <row r="152" spans="1:5" ht="13.5" thickBot="1" x14ac:dyDescent="0.25">
      <c r="A152" s="2"/>
      <c r="C152" s="1"/>
      <c r="D152" s="1"/>
      <c r="E152" s="1"/>
    </row>
    <row r="153" spans="1:5" x14ac:dyDescent="0.2">
      <c r="A153" s="10"/>
      <c r="B153" s="112" t="s">
        <v>35</v>
      </c>
      <c r="C153" s="113">
        <f>SUM(C154:C157)</f>
        <v>2661.29</v>
      </c>
      <c r="D153" s="1"/>
      <c r="E153" s="1"/>
    </row>
    <row r="154" spans="1:5" x14ac:dyDescent="0.2">
      <c r="A154" s="70">
        <v>45064</v>
      </c>
      <c r="B154" s="57" t="s">
        <v>269</v>
      </c>
      <c r="C154" s="71">
        <v>2661.29</v>
      </c>
      <c r="D154" s="1"/>
      <c r="E154" s="1"/>
    </row>
    <row r="155" spans="1:5" x14ac:dyDescent="0.2">
      <c r="A155" s="70"/>
      <c r="B155" s="57"/>
      <c r="C155" s="71"/>
      <c r="D155" s="1"/>
      <c r="E155" s="1"/>
    </row>
    <row r="156" spans="1:5" x14ac:dyDescent="0.2">
      <c r="A156" s="70"/>
      <c r="B156" s="57"/>
      <c r="C156" s="71"/>
      <c r="D156" s="1"/>
      <c r="E156" s="1"/>
    </row>
    <row r="157" spans="1:5" ht="13.5" thickBot="1" x14ac:dyDescent="0.25">
      <c r="A157" s="59"/>
      <c r="B157" s="13"/>
      <c r="C157" s="14"/>
      <c r="D157" s="1"/>
      <c r="E157" s="1"/>
    </row>
    <row r="158" spans="1:5" ht="13.5" thickBot="1" x14ac:dyDescent="0.25">
      <c r="A158" s="2"/>
      <c r="C158" s="1"/>
      <c r="D158" s="1"/>
      <c r="E158" s="1"/>
    </row>
    <row r="159" spans="1:5" x14ac:dyDescent="0.2">
      <c r="A159" s="10"/>
      <c r="B159" s="112" t="s">
        <v>37</v>
      </c>
      <c r="C159" s="113">
        <f>SUM(C160:C163)</f>
        <v>69215.44</v>
      </c>
      <c r="D159" s="1"/>
      <c r="E159" s="1"/>
    </row>
    <row r="160" spans="1:5" x14ac:dyDescent="0.2">
      <c r="A160" s="70">
        <v>45076</v>
      </c>
      <c r="B160" s="57" t="s">
        <v>280</v>
      </c>
      <c r="C160" s="69">
        <v>54791.35</v>
      </c>
      <c r="D160" s="1"/>
      <c r="E160" s="1"/>
    </row>
    <row r="161" spans="1:5" x14ac:dyDescent="0.2">
      <c r="A161" s="70">
        <v>45061</v>
      </c>
      <c r="B161" s="57" t="s">
        <v>282</v>
      </c>
      <c r="C161" s="69">
        <f>6197.74+5220+282.35+1816+908</f>
        <v>14424.09</v>
      </c>
      <c r="D161" s="1"/>
      <c r="E161" s="1"/>
    </row>
    <row r="162" spans="1:5" x14ac:dyDescent="0.2">
      <c r="A162" s="123"/>
      <c r="B162" s="57"/>
      <c r="C162" s="124"/>
      <c r="D162" s="1"/>
      <c r="E162" s="1"/>
    </row>
    <row r="163" spans="1:5" ht="13.5" thickBot="1" x14ac:dyDescent="0.25">
      <c r="A163" s="59"/>
      <c r="B163" s="58"/>
      <c r="C163" s="83"/>
      <c r="D163" s="1"/>
      <c r="E163" s="1"/>
    </row>
    <row r="164" spans="1:5" ht="13.5" thickBot="1" x14ac:dyDescent="0.25">
      <c r="A164" s="21"/>
      <c r="B164" s="11"/>
      <c r="C164" s="29"/>
      <c r="D164" s="1"/>
      <c r="E164" s="1"/>
    </row>
    <row r="165" spans="1:5" x14ac:dyDescent="0.2">
      <c r="A165" s="10"/>
      <c r="B165" s="112" t="s">
        <v>54</v>
      </c>
      <c r="C165" s="113">
        <f>SUM(C166:C168)</f>
        <v>0</v>
      </c>
      <c r="D165" s="1"/>
      <c r="E165" s="1"/>
    </row>
    <row r="166" spans="1:5" x14ac:dyDescent="0.2">
      <c r="A166" s="70"/>
      <c r="B166" s="57"/>
      <c r="C166" s="69"/>
      <c r="D166" s="1"/>
      <c r="E166" s="1"/>
    </row>
    <row r="167" spans="1:5" x14ac:dyDescent="0.2">
      <c r="A167" s="70"/>
      <c r="B167" s="57"/>
      <c r="C167" s="69"/>
      <c r="D167" s="1"/>
      <c r="E167" s="1"/>
    </row>
    <row r="168" spans="1:5" ht="13.5" thickBot="1" x14ac:dyDescent="0.25">
      <c r="A168" s="12"/>
      <c r="B168" s="61"/>
      <c r="C168" s="14"/>
      <c r="D168" s="1"/>
      <c r="E168" s="1"/>
    </row>
    <row r="169" spans="1:5" ht="13.5" thickBot="1" x14ac:dyDescent="0.25">
      <c r="A169" s="26"/>
      <c r="B169" s="57"/>
      <c r="C169" s="29"/>
      <c r="D169" s="1"/>
      <c r="E169" s="1"/>
    </row>
    <row r="170" spans="1:5" x14ac:dyDescent="0.2">
      <c r="A170" s="23"/>
      <c r="B170" s="112" t="s">
        <v>38</v>
      </c>
      <c r="C170" s="113">
        <f>SUM(C171:C195)</f>
        <v>58402</v>
      </c>
      <c r="D170" s="1"/>
      <c r="E170" s="1"/>
    </row>
    <row r="171" spans="1:5" x14ac:dyDescent="0.2">
      <c r="A171" s="96" t="s">
        <v>223</v>
      </c>
      <c r="B171" s="57" t="s">
        <v>224</v>
      </c>
      <c r="C171" s="69">
        <v>300</v>
      </c>
      <c r="D171" s="1"/>
      <c r="E171" s="1"/>
    </row>
    <row r="172" spans="1:5" x14ac:dyDescent="0.2">
      <c r="A172" s="96" t="s">
        <v>223</v>
      </c>
      <c r="B172" s="57" t="s">
        <v>225</v>
      </c>
      <c r="C172" s="69">
        <v>300</v>
      </c>
      <c r="D172" s="1"/>
      <c r="E172" s="1"/>
    </row>
    <row r="173" spans="1:5" x14ac:dyDescent="0.2">
      <c r="A173" s="96" t="s">
        <v>223</v>
      </c>
      <c r="B173" s="57" t="s">
        <v>226</v>
      </c>
      <c r="C173" s="69">
        <v>7487</v>
      </c>
      <c r="D173" s="1"/>
      <c r="E173" s="1"/>
    </row>
    <row r="174" spans="1:5" x14ac:dyDescent="0.2">
      <c r="A174" s="96" t="s">
        <v>223</v>
      </c>
      <c r="B174" s="57" t="s">
        <v>227</v>
      </c>
      <c r="C174" s="69">
        <v>1105</v>
      </c>
      <c r="D174" s="1"/>
      <c r="E174" s="1"/>
    </row>
    <row r="175" spans="1:5" x14ac:dyDescent="0.2">
      <c r="A175" s="96" t="s">
        <v>223</v>
      </c>
      <c r="B175" s="57" t="s">
        <v>228</v>
      </c>
      <c r="C175" s="69">
        <v>7487</v>
      </c>
      <c r="D175" s="1"/>
      <c r="E175" s="1"/>
    </row>
    <row r="176" spans="1:5" x14ac:dyDescent="0.2">
      <c r="A176" s="96" t="s">
        <v>223</v>
      </c>
      <c r="B176" s="57" t="s">
        <v>229</v>
      </c>
      <c r="C176" s="69">
        <f>513+592</f>
        <v>1105</v>
      </c>
      <c r="D176" s="1"/>
      <c r="E176" s="1"/>
    </row>
    <row r="177" spans="1:5" x14ac:dyDescent="0.2">
      <c r="A177" s="96" t="s">
        <v>223</v>
      </c>
      <c r="B177" s="57" t="s">
        <v>230</v>
      </c>
      <c r="C177" s="69">
        <v>6752</v>
      </c>
      <c r="D177" s="1"/>
      <c r="E177" s="1"/>
    </row>
    <row r="178" spans="1:5" x14ac:dyDescent="0.2">
      <c r="A178" s="96" t="s">
        <v>223</v>
      </c>
      <c r="B178" s="57" t="s">
        <v>231</v>
      </c>
      <c r="C178" s="69">
        <v>1105</v>
      </c>
      <c r="D178" s="1"/>
      <c r="E178" s="1"/>
    </row>
    <row r="179" spans="1:5" x14ac:dyDescent="0.2">
      <c r="A179" s="96" t="s">
        <v>223</v>
      </c>
      <c r="B179" s="57" t="s">
        <v>232</v>
      </c>
      <c r="C179" s="69">
        <v>6752</v>
      </c>
      <c r="D179" s="1"/>
      <c r="E179" s="1"/>
    </row>
    <row r="180" spans="1:5" x14ac:dyDescent="0.2">
      <c r="A180" s="96" t="s">
        <v>223</v>
      </c>
      <c r="B180" s="57" t="s">
        <v>233</v>
      </c>
      <c r="C180" s="69">
        <v>1105</v>
      </c>
      <c r="D180" s="1"/>
      <c r="E180" s="1"/>
    </row>
    <row r="181" spans="1:5" x14ac:dyDescent="0.2">
      <c r="A181" s="96" t="s">
        <v>223</v>
      </c>
      <c r="B181" s="57" t="s">
        <v>234</v>
      </c>
      <c r="C181" s="69">
        <v>6752</v>
      </c>
      <c r="D181" s="1"/>
      <c r="E181" s="1"/>
    </row>
    <row r="182" spans="1:5" x14ac:dyDescent="0.2">
      <c r="A182" s="96" t="s">
        <v>223</v>
      </c>
      <c r="B182" s="57" t="s">
        <v>235</v>
      </c>
      <c r="C182" s="69">
        <v>785</v>
      </c>
      <c r="D182" s="1"/>
      <c r="E182" s="1"/>
    </row>
    <row r="183" spans="1:5" x14ac:dyDescent="0.2">
      <c r="A183" s="96" t="s">
        <v>223</v>
      </c>
      <c r="B183" s="57" t="s">
        <v>236</v>
      </c>
      <c r="C183" s="69">
        <v>6752</v>
      </c>
      <c r="D183" s="1"/>
      <c r="E183" s="1"/>
    </row>
    <row r="184" spans="1:5" x14ac:dyDescent="0.2">
      <c r="A184" s="96" t="s">
        <v>223</v>
      </c>
      <c r="B184" s="57" t="s">
        <v>237</v>
      </c>
      <c r="C184" s="69">
        <v>1105</v>
      </c>
      <c r="D184" s="1"/>
      <c r="E184" s="1"/>
    </row>
    <row r="185" spans="1:5" x14ac:dyDescent="0.2">
      <c r="A185" s="96" t="s">
        <v>223</v>
      </c>
      <c r="B185" s="57" t="s">
        <v>238</v>
      </c>
      <c r="C185" s="69">
        <v>6752</v>
      </c>
      <c r="D185" s="1"/>
      <c r="E185" s="1"/>
    </row>
    <row r="186" spans="1:5" x14ac:dyDescent="0.2">
      <c r="A186" s="96" t="s">
        <v>223</v>
      </c>
      <c r="B186" s="57" t="s">
        <v>239</v>
      </c>
      <c r="C186" s="69">
        <f>750+592+400</f>
        <v>1742</v>
      </c>
      <c r="D186" s="1"/>
      <c r="E186" s="1"/>
    </row>
    <row r="187" spans="1:5" x14ac:dyDescent="0.2">
      <c r="A187" s="96" t="s">
        <v>456</v>
      </c>
      <c r="B187" s="57" t="s">
        <v>457</v>
      </c>
      <c r="C187" s="69">
        <v>1016</v>
      </c>
      <c r="D187" s="1"/>
      <c r="E187" s="1"/>
    </row>
    <row r="188" spans="1:5" x14ac:dyDescent="0.2">
      <c r="A188" s="96"/>
      <c r="B188" s="57"/>
      <c r="C188" s="69"/>
      <c r="D188" s="1"/>
      <c r="E188" s="1"/>
    </row>
    <row r="189" spans="1:5" x14ac:dyDescent="0.2">
      <c r="A189" s="73"/>
      <c r="B189" s="57"/>
      <c r="C189" s="69"/>
      <c r="D189" s="1"/>
      <c r="E189" s="1"/>
    </row>
    <row r="190" spans="1:5" x14ac:dyDescent="0.2">
      <c r="A190" s="73"/>
      <c r="B190" s="57"/>
      <c r="C190" s="69"/>
      <c r="D190" s="1"/>
      <c r="E190" s="1"/>
    </row>
    <row r="191" spans="1:5" x14ac:dyDescent="0.2">
      <c r="A191" s="73"/>
      <c r="B191" s="57"/>
      <c r="C191" s="69"/>
      <c r="D191" s="1"/>
      <c r="E191" s="1"/>
    </row>
    <row r="192" spans="1:5" x14ac:dyDescent="0.2">
      <c r="A192" s="73"/>
      <c r="B192" s="57"/>
      <c r="C192" s="69"/>
      <c r="D192" s="1"/>
      <c r="E192" s="1"/>
    </row>
    <row r="193" spans="1:5" x14ac:dyDescent="0.2">
      <c r="A193" s="73"/>
      <c r="B193" s="57"/>
      <c r="C193" s="69"/>
      <c r="D193" s="1"/>
      <c r="E193" s="1"/>
    </row>
    <row r="194" spans="1:5" x14ac:dyDescent="0.2">
      <c r="A194" s="73"/>
      <c r="B194" s="57"/>
      <c r="C194" s="69"/>
      <c r="D194" s="1"/>
      <c r="E194" s="1"/>
    </row>
    <row r="195" spans="1:5" ht="13.5" thickBot="1" x14ac:dyDescent="0.25">
      <c r="A195" s="24"/>
      <c r="B195" s="58"/>
      <c r="C195" s="14"/>
      <c r="D195" s="1"/>
      <c r="E195" s="1"/>
    </row>
    <row r="196" spans="1:5" ht="13.5" thickBot="1" x14ac:dyDescent="0.25">
      <c r="A196" s="26"/>
      <c r="B196" s="57"/>
      <c r="C196" s="29"/>
      <c r="D196" s="1"/>
      <c r="E196" s="1"/>
    </row>
    <row r="197" spans="1:5" x14ac:dyDescent="0.2">
      <c r="A197" s="10"/>
      <c r="B197" s="112" t="s">
        <v>27</v>
      </c>
      <c r="C197" s="113">
        <f>SUM(C198:C202)</f>
        <v>1995.2</v>
      </c>
      <c r="D197" s="1"/>
      <c r="E197" s="1"/>
    </row>
    <row r="198" spans="1:5" x14ac:dyDescent="0.2">
      <c r="A198" s="79">
        <v>45070</v>
      </c>
      <c r="B198" s="57" t="s">
        <v>208</v>
      </c>
      <c r="C198" s="71">
        <v>1995.2</v>
      </c>
      <c r="D198" s="1"/>
      <c r="E198" s="1"/>
    </row>
    <row r="199" spans="1:5" x14ac:dyDescent="0.2">
      <c r="A199" s="79"/>
      <c r="B199" s="57"/>
      <c r="C199" s="71"/>
      <c r="D199" s="1"/>
      <c r="E199" s="1"/>
    </row>
    <row r="200" spans="1:5" x14ac:dyDescent="0.2">
      <c r="A200" s="79"/>
      <c r="B200" s="57"/>
      <c r="C200" s="71"/>
      <c r="D200" s="1"/>
      <c r="E200" s="1"/>
    </row>
    <row r="201" spans="1:5" x14ac:dyDescent="0.2">
      <c r="A201" s="79"/>
      <c r="B201" s="57"/>
      <c r="C201" s="71"/>
      <c r="D201" s="1"/>
      <c r="E201" s="1"/>
    </row>
    <row r="202" spans="1:5" ht="13.5" thickBot="1" x14ac:dyDescent="0.25">
      <c r="A202" s="59"/>
      <c r="B202" s="13"/>
      <c r="C202" s="14"/>
      <c r="D202" s="1"/>
      <c r="E202" s="1"/>
    </row>
    <row r="203" spans="1:5" x14ac:dyDescent="0.2">
      <c r="A203" s="2"/>
      <c r="D203" s="1"/>
      <c r="E203" s="1"/>
    </row>
    <row r="204" spans="1:5" ht="13.5" thickBot="1" x14ac:dyDescent="0.25">
      <c r="A204" s="28"/>
      <c r="B204" s="8"/>
      <c r="C204" s="8"/>
      <c r="D204" s="1"/>
      <c r="E204" s="1"/>
    </row>
    <row r="205" spans="1:5" ht="13.5" thickBot="1" x14ac:dyDescent="0.25">
      <c r="A205" s="118"/>
      <c r="B205" s="119" t="s">
        <v>0</v>
      </c>
      <c r="C205" s="120">
        <f>SUM(C206:C208)</f>
        <v>12694.967999999999</v>
      </c>
      <c r="D205" s="1"/>
      <c r="E205" s="1"/>
    </row>
    <row r="206" spans="1:5" x14ac:dyDescent="0.2">
      <c r="A206" s="74" t="s">
        <v>274</v>
      </c>
      <c r="B206" s="77" t="s">
        <v>275</v>
      </c>
      <c r="C206" s="75">
        <f>712.8*17.81</f>
        <v>12694.967999999999</v>
      </c>
      <c r="D206" s="1"/>
      <c r="E206" s="1"/>
    </row>
    <row r="207" spans="1:5" x14ac:dyDescent="0.2">
      <c r="A207" s="102"/>
      <c r="B207" s="85"/>
      <c r="C207" s="71"/>
      <c r="D207" s="1"/>
      <c r="E207" s="1"/>
    </row>
    <row r="208" spans="1:5" ht="13.5" thickBot="1" x14ac:dyDescent="0.25">
      <c r="A208" s="24"/>
      <c r="B208" s="13"/>
      <c r="C208" s="76"/>
      <c r="D208" s="1"/>
      <c r="E208" s="1"/>
    </row>
    <row r="209" spans="4:5" x14ac:dyDescent="0.2">
      <c r="D209" s="1"/>
      <c r="E209" s="1"/>
    </row>
  </sheetData>
  <mergeCells count="1">
    <mergeCell ref="A2:B2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246"/>
  <sheetViews>
    <sheetView topLeftCell="A137" workbookViewId="0">
      <selection activeCell="B149" sqref="B149"/>
    </sheetView>
  </sheetViews>
  <sheetFormatPr defaultRowHeight="12.75" x14ac:dyDescent="0.2"/>
  <cols>
    <col min="1" max="1" width="9.140625" style="22"/>
    <col min="2" max="2" width="84.28515625" customWidth="1"/>
    <col min="3" max="3" width="18.42578125" customWidth="1"/>
    <col min="6" max="6" width="11.140625" bestFit="1" customWidth="1"/>
  </cols>
  <sheetData>
    <row r="1" spans="1:6" ht="13.5" thickBot="1" x14ac:dyDescent="0.25">
      <c r="A1"/>
    </row>
    <row r="2" spans="1:6" ht="13.5" thickBot="1" x14ac:dyDescent="0.25">
      <c r="A2" s="147" t="s">
        <v>68</v>
      </c>
      <c r="B2" s="148"/>
      <c r="C2" s="20">
        <f>C4+C90</f>
        <v>793877.75000000012</v>
      </c>
    </row>
    <row r="3" spans="1:6" ht="13.5" thickBot="1" x14ac:dyDescent="0.25">
      <c r="A3" s="16" t="s">
        <v>20</v>
      </c>
      <c r="B3" s="15" t="s">
        <v>21</v>
      </c>
      <c r="C3" s="17" t="s">
        <v>22</v>
      </c>
    </row>
    <row r="4" spans="1:6" ht="13.5" thickBot="1" x14ac:dyDescent="0.25">
      <c r="A4" s="114"/>
      <c r="B4" s="115" t="s">
        <v>23</v>
      </c>
      <c r="C4" s="116">
        <f>C5+C11+C18+C22+C27+C35+C48+C55+C65+C71+C74+C77+C80</f>
        <v>138477.37</v>
      </c>
      <c r="F4" s="1"/>
    </row>
    <row r="5" spans="1:6" x14ac:dyDescent="0.2">
      <c r="A5" s="10"/>
      <c r="B5" s="112" t="s">
        <v>36</v>
      </c>
      <c r="C5" s="113">
        <f>SUM(C6:C9)</f>
        <v>0</v>
      </c>
    </row>
    <row r="6" spans="1:6" x14ac:dyDescent="0.2">
      <c r="A6" s="70"/>
      <c r="B6" s="57"/>
      <c r="C6" s="69"/>
    </row>
    <row r="7" spans="1:6" x14ac:dyDescent="0.2">
      <c r="A7" s="70"/>
      <c r="B7" s="57"/>
      <c r="C7" s="69"/>
    </row>
    <row r="8" spans="1:6" x14ac:dyDescent="0.2">
      <c r="A8" s="70"/>
      <c r="B8" s="57"/>
      <c r="C8" s="69"/>
    </row>
    <row r="9" spans="1:6" ht="13.5" thickBot="1" x14ac:dyDescent="0.25">
      <c r="A9" s="12"/>
      <c r="B9" s="13"/>
      <c r="C9" s="14"/>
    </row>
    <row r="10" spans="1:6" ht="13.5" thickBot="1" x14ac:dyDescent="0.25">
      <c r="A10" s="21"/>
      <c r="B10" s="11"/>
      <c r="C10" s="29"/>
    </row>
    <row r="11" spans="1:6" x14ac:dyDescent="0.2">
      <c r="A11" s="10"/>
      <c r="B11" s="112" t="s">
        <v>47</v>
      </c>
      <c r="C11" s="113">
        <f>SUM(C12:C16)</f>
        <v>0</v>
      </c>
    </row>
    <row r="12" spans="1:6" x14ac:dyDescent="0.2">
      <c r="A12" s="70"/>
      <c r="B12" s="57"/>
      <c r="C12" s="69"/>
    </row>
    <row r="13" spans="1:6" x14ac:dyDescent="0.2">
      <c r="A13" s="70"/>
      <c r="B13" s="57"/>
      <c r="C13" s="69"/>
    </row>
    <row r="14" spans="1:6" x14ac:dyDescent="0.2">
      <c r="A14" s="70"/>
      <c r="B14" s="57"/>
      <c r="C14" s="69"/>
    </row>
    <row r="15" spans="1:6" x14ac:dyDescent="0.2">
      <c r="A15" s="70"/>
      <c r="B15" s="57"/>
      <c r="C15" s="69"/>
    </row>
    <row r="16" spans="1:6" ht="13.5" thickBot="1" x14ac:dyDescent="0.25">
      <c r="A16" s="12"/>
      <c r="B16" s="13"/>
      <c r="C16" s="14"/>
    </row>
    <row r="17" spans="1:3" ht="13.5" thickBot="1" x14ac:dyDescent="0.25">
      <c r="A17" s="21"/>
      <c r="B17" s="11"/>
      <c r="C17" s="29"/>
    </row>
    <row r="18" spans="1:3" x14ac:dyDescent="0.2">
      <c r="A18" s="10"/>
      <c r="B18" s="112" t="s">
        <v>48</v>
      </c>
      <c r="C18" s="113">
        <f>SUM(C19:C20)</f>
        <v>0</v>
      </c>
    </row>
    <row r="19" spans="1:3" x14ac:dyDescent="0.2">
      <c r="A19" s="70"/>
      <c r="B19" s="57"/>
      <c r="C19" s="71"/>
    </row>
    <row r="20" spans="1:3" ht="13.5" thickBot="1" x14ac:dyDescent="0.25">
      <c r="A20" s="59"/>
      <c r="B20" s="13"/>
      <c r="C20" s="14"/>
    </row>
    <row r="21" spans="1:3" ht="13.5" thickBot="1" x14ac:dyDescent="0.25">
      <c r="A21" s="2"/>
      <c r="C21" s="4"/>
    </row>
    <row r="22" spans="1:3" x14ac:dyDescent="0.2">
      <c r="A22" s="10"/>
      <c r="B22" s="112" t="s">
        <v>24</v>
      </c>
      <c r="C22" s="113">
        <f>SUM(C23:C25)</f>
        <v>43200</v>
      </c>
    </row>
    <row r="23" spans="1:3" x14ac:dyDescent="0.2">
      <c r="A23" s="70">
        <v>45085</v>
      </c>
      <c r="B23" s="57" t="s">
        <v>272</v>
      </c>
      <c r="C23" s="69">
        <v>43200</v>
      </c>
    </row>
    <row r="24" spans="1:3" x14ac:dyDescent="0.2">
      <c r="A24" s="70"/>
      <c r="B24" s="57"/>
      <c r="C24" s="69"/>
    </row>
    <row r="25" spans="1:3" ht="13.5" thickBot="1" x14ac:dyDescent="0.25">
      <c r="A25" s="12"/>
      <c r="B25" s="13"/>
      <c r="C25" s="14"/>
    </row>
    <row r="26" spans="1:3" ht="13.5" thickBot="1" x14ac:dyDescent="0.25">
      <c r="A26" s="2"/>
      <c r="C26" s="4"/>
    </row>
    <row r="27" spans="1:3" x14ac:dyDescent="0.2">
      <c r="A27" s="10"/>
      <c r="B27" s="112" t="s">
        <v>25</v>
      </c>
      <c r="C27" s="113">
        <f>SUM(C28:C33)</f>
        <v>0</v>
      </c>
    </row>
    <row r="28" spans="1:3" x14ac:dyDescent="0.2">
      <c r="A28" s="70"/>
      <c r="B28" s="57"/>
      <c r="C28" s="69"/>
    </row>
    <row r="29" spans="1:3" x14ac:dyDescent="0.2">
      <c r="A29" s="70"/>
      <c r="B29" s="57"/>
      <c r="C29" s="69"/>
    </row>
    <row r="30" spans="1:3" x14ac:dyDescent="0.2">
      <c r="A30" s="70"/>
      <c r="B30" s="57"/>
      <c r="C30" s="69"/>
    </row>
    <row r="31" spans="1:3" x14ac:dyDescent="0.2">
      <c r="A31" s="70"/>
      <c r="B31" s="57"/>
      <c r="C31" s="69"/>
    </row>
    <row r="32" spans="1:3" x14ac:dyDescent="0.2">
      <c r="A32" s="70"/>
      <c r="B32" s="57"/>
      <c r="C32" s="69"/>
    </row>
    <row r="33" spans="1:3" ht="13.5" thickBot="1" x14ac:dyDescent="0.25">
      <c r="A33" s="12"/>
      <c r="B33" s="13"/>
      <c r="C33" s="14"/>
    </row>
    <row r="34" spans="1:3" ht="13.5" thickBot="1" x14ac:dyDescent="0.25">
      <c r="A34" s="2"/>
      <c r="C34" s="4"/>
    </row>
    <row r="35" spans="1:3" x14ac:dyDescent="0.2">
      <c r="A35" s="10"/>
      <c r="B35" s="112" t="s">
        <v>19</v>
      </c>
      <c r="C35" s="113">
        <f>SUM(C36:C46)</f>
        <v>0</v>
      </c>
    </row>
    <row r="36" spans="1:3" x14ac:dyDescent="0.2">
      <c r="A36" s="70"/>
      <c r="B36" s="57"/>
      <c r="C36" s="69"/>
    </row>
    <row r="37" spans="1:3" x14ac:dyDescent="0.2">
      <c r="A37" s="70"/>
      <c r="B37" s="57"/>
      <c r="C37" s="69"/>
    </row>
    <row r="38" spans="1:3" x14ac:dyDescent="0.2">
      <c r="A38" s="70"/>
      <c r="B38" s="57"/>
      <c r="C38" s="69"/>
    </row>
    <row r="39" spans="1:3" x14ac:dyDescent="0.2">
      <c r="A39" s="70"/>
      <c r="B39" s="57"/>
      <c r="C39" s="69"/>
    </row>
    <row r="40" spans="1:3" x14ac:dyDescent="0.2">
      <c r="A40" s="70"/>
      <c r="B40" s="57"/>
      <c r="C40" s="69"/>
    </row>
    <row r="41" spans="1:3" x14ac:dyDescent="0.2">
      <c r="A41" s="70"/>
      <c r="B41" s="57"/>
      <c r="C41" s="69"/>
    </row>
    <row r="42" spans="1:3" x14ac:dyDescent="0.2">
      <c r="A42" s="70"/>
      <c r="B42" s="57"/>
      <c r="C42" s="69"/>
    </row>
    <row r="43" spans="1:3" x14ac:dyDescent="0.2">
      <c r="A43" s="70"/>
      <c r="B43" s="57"/>
      <c r="C43" s="69"/>
    </row>
    <row r="44" spans="1:3" x14ac:dyDescent="0.2">
      <c r="A44" s="70"/>
      <c r="B44" s="57"/>
      <c r="C44" s="69"/>
    </row>
    <row r="45" spans="1:3" x14ac:dyDescent="0.2">
      <c r="A45" s="70"/>
      <c r="B45" s="57"/>
      <c r="C45" s="69"/>
    </row>
    <row r="46" spans="1:3" ht="13.5" thickBot="1" x14ac:dyDescent="0.25">
      <c r="A46" s="12"/>
      <c r="B46" s="13"/>
      <c r="C46" s="14"/>
    </row>
    <row r="47" spans="1:3" ht="13.5" thickBot="1" x14ac:dyDescent="0.25">
      <c r="A47" s="2"/>
      <c r="C47" s="4"/>
    </row>
    <row r="48" spans="1:3" x14ac:dyDescent="0.2">
      <c r="A48" s="10"/>
      <c r="B48" s="112" t="s">
        <v>58</v>
      </c>
      <c r="C48" s="113">
        <f>SUM(C49:C53)</f>
        <v>0</v>
      </c>
    </row>
    <row r="49" spans="1:3" x14ac:dyDescent="0.2">
      <c r="A49" s="70"/>
      <c r="B49" s="57"/>
      <c r="C49" s="69"/>
    </row>
    <row r="50" spans="1:3" x14ac:dyDescent="0.2">
      <c r="A50" s="70"/>
      <c r="B50" s="57"/>
      <c r="C50" s="69"/>
    </row>
    <row r="51" spans="1:3" x14ac:dyDescent="0.2">
      <c r="A51" s="70"/>
      <c r="B51" s="57"/>
      <c r="C51" s="69"/>
    </row>
    <row r="52" spans="1:3" x14ac:dyDescent="0.2">
      <c r="A52" s="70"/>
      <c r="B52" s="57"/>
      <c r="C52" s="69"/>
    </row>
    <row r="53" spans="1:3" ht="13.5" thickBot="1" x14ac:dyDescent="0.25">
      <c r="A53" s="59"/>
      <c r="B53" s="58"/>
      <c r="C53" s="14"/>
    </row>
    <row r="54" spans="1:3" ht="13.5" thickBot="1" x14ac:dyDescent="0.25">
      <c r="A54" s="2"/>
    </row>
    <row r="55" spans="1:3" x14ac:dyDescent="0.2">
      <c r="A55" s="10"/>
      <c r="B55" s="112" t="s">
        <v>55</v>
      </c>
      <c r="C55" s="113">
        <f>SUM(C56:C63)</f>
        <v>9757.93</v>
      </c>
    </row>
    <row r="56" spans="1:3" x14ac:dyDescent="0.2">
      <c r="A56" s="70">
        <v>45079</v>
      </c>
      <c r="B56" s="57" t="s">
        <v>264</v>
      </c>
      <c r="C56" s="69">
        <v>6374.03</v>
      </c>
    </row>
    <row r="57" spans="1:3" x14ac:dyDescent="0.2">
      <c r="A57" s="70">
        <v>45107</v>
      </c>
      <c r="B57" s="57" t="s">
        <v>451</v>
      </c>
      <c r="C57" s="69">
        <v>3383.9</v>
      </c>
    </row>
    <row r="58" spans="1:3" x14ac:dyDescent="0.2">
      <c r="A58" s="70"/>
      <c r="B58" s="57"/>
      <c r="C58" s="69"/>
    </row>
    <row r="59" spans="1:3" x14ac:dyDescent="0.2">
      <c r="A59" s="70"/>
      <c r="B59" s="57"/>
      <c r="C59" s="69"/>
    </row>
    <row r="60" spans="1:3" x14ac:dyDescent="0.2">
      <c r="A60" s="70"/>
      <c r="B60" s="57"/>
      <c r="C60" s="69"/>
    </row>
    <row r="61" spans="1:3" x14ac:dyDescent="0.2">
      <c r="A61" s="70"/>
      <c r="B61" s="57"/>
      <c r="C61" s="69"/>
    </row>
    <row r="62" spans="1:3" x14ac:dyDescent="0.2">
      <c r="A62" s="70"/>
      <c r="B62" s="57"/>
      <c r="C62" s="69"/>
    </row>
    <row r="63" spans="1:3" ht="13.5" thickBot="1" x14ac:dyDescent="0.25">
      <c r="A63" s="12"/>
      <c r="B63" s="58"/>
      <c r="C63" s="14"/>
    </row>
    <row r="64" spans="1:3" ht="13.5" thickBot="1" x14ac:dyDescent="0.25">
      <c r="A64" s="21"/>
      <c r="B64" s="57"/>
      <c r="C64" s="29"/>
    </row>
    <row r="65" spans="1:3" x14ac:dyDescent="0.2">
      <c r="A65" s="10"/>
      <c r="B65" s="112" t="s">
        <v>56</v>
      </c>
      <c r="C65" s="113">
        <f>SUM(C66:C69)</f>
        <v>8478</v>
      </c>
    </row>
    <row r="66" spans="1:3" x14ac:dyDescent="0.2">
      <c r="A66" s="70">
        <v>45083</v>
      </c>
      <c r="B66" s="57" t="s">
        <v>273</v>
      </c>
      <c r="C66" s="69">
        <v>8478</v>
      </c>
    </row>
    <row r="67" spans="1:3" x14ac:dyDescent="0.2">
      <c r="A67" s="70"/>
      <c r="B67" s="57"/>
      <c r="C67" s="69"/>
    </row>
    <row r="68" spans="1:3" x14ac:dyDescent="0.2">
      <c r="A68" s="70"/>
      <c r="B68" s="57"/>
      <c r="C68" s="69"/>
    </row>
    <row r="69" spans="1:3" ht="13.5" thickBot="1" x14ac:dyDescent="0.25">
      <c r="A69" s="12"/>
      <c r="B69" s="58"/>
      <c r="C69" s="14"/>
    </row>
    <row r="70" spans="1:3" ht="13.5" thickBot="1" x14ac:dyDescent="0.25">
      <c r="A70" s="21"/>
      <c r="B70" s="57"/>
      <c r="C70" s="29"/>
    </row>
    <row r="71" spans="1:3" x14ac:dyDescent="0.2">
      <c r="A71" s="10"/>
      <c r="B71" s="112" t="s">
        <v>41</v>
      </c>
      <c r="C71" s="113">
        <f>SUM(C72)</f>
        <v>0</v>
      </c>
    </row>
    <row r="72" spans="1:3" ht="13.5" thickBot="1" x14ac:dyDescent="0.25">
      <c r="A72" s="12"/>
      <c r="B72" s="58"/>
      <c r="C72" s="14"/>
    </row>
    <row r="73" spans="1:3" ht="13.5" thickBot="1" x14ac:dyDescent="0.25">
      <c r="A73" s="2"/>
    </row>
    <row r="74" spans="1:3" x14ac:dyDescent="0.2">
      <c r="A74" s="10"/>
      <c r="B74" s="112" t="s">
        <v>28</v>
      </c>
      <c r="C74" s="113">
        <f>C75</f>
        <v>0</v>
      </c>
    </row>
    <row r="75" spans="1:3" ht="13.5" thickBot="1" x14ac:dyDescent="0.25">
      <c r="A75" s="59"/>
      <c r="B75" s="13"/>
      <c r="C75" s="14"/>
    </row>
    <row r="76" spans="1:3" ht="13.5" thickBot="1" x14ac:dyDescent="0.25">
      <c r="A76" s="2"/>
    </row>
    <row r="77" spans="1:3" x14ac:dyDescent="0.2">
      <c r="A77" s="10"/>
      <c r="B77" s="112" t="s">
        <v>57</v>
      </c>
      <c r="C77" s="113">
        <f>SUM(C78)</f>
        <v>0</v>
      </c>
    </row>
    <row r="78" spans="1:3" ht="13.5" thickBot="1" x14ac:dyDescent="0.25">
      <c r="A78" s="59"/>
      <c r="B78" s="58"/>
      <c r="C78" s="14"/>
    </row>
    <row r="79" spans="1:3" ht="13.5" thickBot="1" x14ac:dyDescent="0.25">
      <c r="A79" s="2"/>
    </row>
    <row r="80" spans="1:3" x14ac:dyDescent="0.2">
      <c r="A80" s="10"/>
      <c r="B80" s="112" t="s">
        <v>27</v>
      </c>
      <c r="C80" s="113">
        <f>SUM(C81:C87)</f>
        <v>77041.440000000002</v>
      </c>
    </row>
    <row r="81" spans="1:3" x14ac:dyDescent="0.2">
      <c r="A81" s="70">
        <v>45091</v>
      </c>
      <c r="B81" s="57" t="s">
        <v>277</v>
      </c>
      <c r="C81" s="69">
        <v>757</v>
      </c>
    </row>
    <row r="82" spans="1:3" x14ac:dyDescent="0.2">
      <c r="A82" s="70">
        <v>45104</v>
      </c>
      <c r="B82" s="57" t="s">
        <v>287</v>
      </c>
      <c r="C82" s="69">
        <v>76284.44</v>
      </c>
    </row>
    <row r="83" spans="1:3" x14ac:dyDescent="0.2">
      <c r="A83" s="70"/>
      <c r="B83" s="57"/>
      <c r="C83" s="69"/>
    </row>
    <row r="84" spans="1:3" x14ac:dyDescent="0.2">
      <c r="A84" s="70"/>
      <c r="B84" s="57"/>
      <c r="C84" s="69"/>
    </row>
    <row r="85" spans="1:3" x14ac:dyDescent="0.2">
      <c r="A85" s="70"/>
      <c r="B85" s="57"/>
      <c r="C85" s="69"/>
    </row>
    <row r="86" spans="1:3" x14ac:dyDescent="0.2">
      <c r="A86" s="70"/>
      <c r="B86" s="57"/>
      <c r="C86" s="69"/>
    </row>
    <row r="87" spans="1:3" ht="13.5" thickBot="1" x14ac:dyDescent="0.25">
      <c r="A87" s="59"/>
      <c r="B87" s="13"/>
      <c r="C87" s="14"/>
    </row>
    <row r="88" spans="1:3" x14ac:dyDescent="0.2">
      <c r="A88" s="2"/>
      <c r="B88" s="7"/>
    </row>
    <row r="89" spans="1:3" ht="13.5" thickBot="1" x14ac:dyDescent="0.25">
      <c r="A89" s="9"/>
      <c r="B89" s="8"/>
      <c r="C89" s="8"/>
    </row>
    <row r="90" spans="1:3" ht="13.5" thickBot="1" x14ac:dyDescent="0.25">
      <c r="A90" s="114"/>
      <c r="B90" s="115" t="s">
        <v>29</v>
      </c>
      <c r="C90" s="116">
        <f>C91+C97+C101+C104+C108+C112+C118+C122+C126+C129+C132+C135+C139+C147+C152+C162+C167+C204</f>
        <v>655400.38000000012</v>
      </c>
    </row>
    <row r="91" spans="1:3" x14ac:dyDescent="0.2">
      <c r="A91" s="10"/>
      <c r="B91" s="112" t="s">
        <v>26</v>
      </c>
      <c r="C91" s="113">
        <f>SUM(C92:C95)</f>
        <v>0</v>
      </c>
    </row>
    <row r="92" spans="1:3" x14ac:dyDescent="0.2">
      <c r="A92" s="70"/>
      <c r="B92" s="57"/>
      <c r="C92" s="69"/>
    </row>
    <row r="93" spans="1:3" x14ac:dyDescent="0.2">
      <c r="A93" s="70"/>
      <c r="B93" s="57"/>
      <c r="C93" s="69"/>
    </row>
    <row r="94" spans="1:3" x14ac:dyDescent="0.2">
      <c r="A94" s="70"/>
      <c r="B94" s="57"/>
      <c r="C94" s="69"/>
    </row>
    <row r="95" spans="1:3" ht="13.5" thickBot="1" x14ac:dyDescent="0.25">
      <c r="A95" s="12"/>
      <c r="B95" s="13"/>
      <c r="C95" s="14"/>
    </row>
    <row r="96" spans="1:3" ht="13.5" thickBot="1" x14ac:dyDescent="0.25">
      <c r="A96" s="2"/>
      <c r="C96" s="4"/>
    </row>
    <row r="97" spans="1:3" x14ac:dyDescent="0.2">
      <c r="A97" s="10"/>
      <c r="B97" s="112" t="s">
        <v>53</v>
      </c>
      <c r="C97" s="113">
        <f>SUM(C98:C99)</f>
        <v>0</v>
      </c>
    </row>
    <row r="98" spans="1:3" x14ac:dyDescent="0.2">
      <c r="A98" s="70"/>
      <c r="B98" s="57"/>
      <c r="C98" s="69"/>
    </row>
    <row r="99" spans="1:3" ht="13.5" thickBot="1" x14ac:dyDescent="0.25">
      <c r="A99" s="12"/>
      <c r="B99" s="61"/>
      <c r="C99" s="14"/>
    </row>
    <row r="100" spans="1:3" ht="13.5" thickBot="1" x14ac:dyDescent="0.25">
      <c r="A100" s="21"/>
      <c r="B100" s="60"/>
      <c r="C100" s="29"/>
    </row>
    <row r="101" spans="1:3" x14ac:dyDescent="0.2">
      <c r="A101" s="10"/>
      <c r="B101" s="112" t="s">
        <v>51</v>
      </c>
      <c r="C101" s="113">
        <f>SUM(C102)</f>
        <v>0</v>
      </c>
    </row>
    <row r="102" spans="1:3" ht="13.5" thickBot="1" x14ac:dyDescent="0.25">
      <c r="A102" s="12"/>
      <c r="B102" s="61"/>
      <c r="C102" s="14"/>
    </row>
    <row r="103" spans="1:3" ht="13.5" thickBot="1" x14ac:dyDescent="0.25">
      <c r="A103" s="21"/>
      <c r="B103" s="60"/>
      <c r="C103" s="29"/>
    </row>
    <row r="104" spans="1:3" x14ac:dyDescent="0.2">
      <c r="A104" s="10"/>
      <c r="B104" s="112" t="s">
        <v>49</v>
      </c>
      <c r="C104" s="113">
        <f>SUM(C105:C106)</f>
        <v>24667.200000000001</v>
      </c>
    </row>
    <row r="105" spans="1:3" x14ac:dyDescent="0.2">
      <c r="A105" s="70">
        <v>45103</v>
      </c>
      <c r="B105" s="57" t="s">
        <v>285</v>
      </c>
      <c r="C105" s="71">
        <v>7344</v>
      </c>
    </row>
    <row r="106" spans="1:3" ht="13.5" thickBot="1" x14ac:dyDescent="0.25">
      <c r="A106" s="59">
        <v>45106</v>
      </c>
      <c r="B106" s="58" t="s">
        <v>454</v>
      </c>
      <c r="C106" s="14">
        <v>17323.2</v>
      </c>
    </row>
    <row r="107" spans="1:3" ht="13.5" thickBot="1" x14ac:dyDescent="0.25">
      <c r="A107" s="107"/>
      <c r="B107" s="57"/>
      <c r="C107" s="29"/>
    </row>
    <row r="108" spans="1:3" x14ac:dyDescent="0.2">
      <c r="A108" s="10"/>
      <c r="B108" s="112" t="s">
        <v>75</v>
      </c>
      <c r="C108" s="113">
        <f>SUM(C109:C110)</f>
        <v>0</v>
      </c>
    </row>
    <row r="109" spans="1:3" x14ac:dyDescent="0.2">
      <c r="A109" s="70"/>
      <c r="B109" s="57"/>
      <c r="C109" s="71"/>
    </row>
    <row r="110" spans="1:3" ht="13.5" thickBot="1" x14ac:dyDescent="0.25">
      <c r="A110" s="59"/>
      <c r="B110" s="58"/>
      <c r="C110" s="14"/>
    </row>
    <row r="111" spans="1:3" ht="13.5" thickBot="1" x14ac:dyDescent="0.25">
      <c r="A111" s="2"/>
    </row>
    <row r="112" spans="1:3" x14ac:dyDescent="0.2">
      <c r="A112" s="10"/>
      <c r="B112" s="112" t="s">
        <v>77</v>
      </c>
      <c r="C112" s="113">
        <f>SUM(C113:C116)</f>
        <v>107587.46</v>
      </c>
    </row>
    <row r="113" spans="1:3" x14ac:dyDescent="0.2">
      <c r="A113" s="70">
        <v>45097</v>
      </c>
      <c r="B113" s="57" t="s">
        <v>276</v>
      </c>
      <c r="C113" s="71">
        <v>107587.46</v>
      </c>
    </row>
    <row r="114" spans="1:3" x14ac:dyDescent="0.2">
      <c r="A114" s="70"/>
      <c r="B114" s="57"/>
      <c r="C114" s="71"/>
    </row>
    <row r="115" spans="1:3" x14ac:dyDescent="0.2">
      <c r="A115" s="70"/>
      <c r="B115" s="57"/>
      <c r="C115" s="71"/>
    </row>
    <row r="116" spans="1:3" ht="13.5" thickBot="1" x14ac:dyDescent="0.25">
      <c r="A116" s="59"/>
      <c r="B116" s="18"/>
      <c r="C116" s="14"/>
    </row>
    <row r="117" spans="1:3" ht="13.5" thickBot="1" x14ac:dyDescent="0.25">
      <c r="A117" s="2"/>
      <c r="C117" s="1"/>
    </row>
    <row r="118" spans="1:3" x14ac:dyDescent="0.2">
      <c r="A118" s="10"/>
      <c r="B118" s="112" t="s">
        <v>78</v>
      </c>
      <c r="C118" s="113">
        <f>SUM(C119:C120)</f>
        <v>412899.5</v>
      </c>
    </row>
    <row r="119" spans="1:3" x14ac:dyDescent="0.2">
      <c r="A119" s="70">
        <v>45107</v>
      </c>
      <c r="B119" s="57" t="s">
        <v>284</v>
      </c>
      <c r="C119" s="71">
        <v>201205.49</v>
      </c>
    </row>
    <row r="120" spans="1:3" ht="13.5" thickBot="1" x14ac:dyDescent="0.25">
      <c r="A120" s="59">
        <v>45082</v>
      </c>
      <c r="B120" s="18" t="s">
        <v>286</v>
      </c>
      <c r="C120" s="14">
        <v>211694.01</v>
      </c>
    </row>
    <row r="121" spans="1:3" ht="13.5" thickBot="1" x14ac:dyDescent="0.25">
      <c r="A121" s="2"/>
      <c r="B121" s="3"/>
      <c r="C121" s="1"/>
    </row>
    <row r="122" spans="1:3" x14ac:dyDescent="0.2">
      <c r="A122" s="10"/>
      <c r="B122" s="112" t="s">
        <v>30</v>
      </c>
      <c r="C122" s="113">
        <f>SUM(C123:C124)</f>
        <v>0</v>
      </c>
    </row>
    <row r="123" spans="1:3" x14ac:dyDescent="0.2">
      <c r="A123" s="70"/>
      <c r="B123" s="57"/>
      <c r="C123" s="69"/>
    </row>
    <row r="124" spans="1:3" ht="13.5" thickBot="1" x14ac:dyDescent="0.25">
      <c r="A124" s="12"/>
      <c r="B124" s="13"/>
      <c r="C124" s="14"/>
    </row>
    <row r="125" spans="1:3" ht="13.5" thickBot="1" x14ac:dyDescent="0.25">
      <c r="A125" s="2"/>
      <c r="C125" s="4"/>
    </row>
    <row r="126" spans="1:3" x14ac:dyDescent="0.2">
      <c r="A126" s="10"/>
      <c r="B126" s="112" t="s">
        <v>18</v>
      </c>
      <c r="C126" s="113">
        <f>SUM(C127:C127)</f>
        <v>0</v>
      </c>
    </row>
    <row r="127" spans="1:3" ht="13.5" thickBot="1" x14ac:dyDescent="0.25">
      <c r="A127" s="59"/>
      <c r="B127" s="98"/>
      <c r="C127" s="14"/>
    </row>
    <row r="128" spans="1:3" ht="13.5" thickBot="1" x14ac:dyDescent="0.25">
      <c r="A128" s="2"/>
      <c r="C128" s="1"/>
    </row>
    <row r="129" spans="1:3" x14ac:dyDescent="0.2">
      <c r="A129" s="10"/>
      <c r="B129" s="112" t="s">
        <v>31</v>
      </c>
      <c r="C129" s="113">
        <f>SUM(C130:C130)</f>
        <v>4212</v>
      </c>
    </row>
    <row r="130" spans="1:3" ht="13.5" thickBot="1" x14ac:dyDescent="0.25">
      <c r="A130" s="95">
        <v>45107</v>
      </c>
      <c r="B130" s="18" t="s">
        <v>283</v>
      </c>
      <c r="C130" s="14">
        <v>4212</v>
      </c>
    </row>
    <row r="131" spans="1:3" ht="13.5" thickBot="1" x14ac:dyDescent="0.25">
      <c r="A131" s="5"/>
      <c r="C131" s="1"/>
    </row>
    <row r="132" spans="1:3" x14ac:dyDescent="0.2">
      <c r="A132" s="10"/>
      <c r="B132" s="112" t="s">
        <v>32</v>
      </c>
      <c r="C132" s="113">
        <f>C133</f>
        <v>0</v>
      </c>
    </row>
    <row r="133" spans="1:3" ht="13.5" thickBot="1" x14ac:dyDescent="0.25">
      <c r="A133" s="59"/>
      <c r="B133" s="58"/>
      <c r="C133" s="14"/>
    </row>
    <row r="134" spans="1:3" ht="13.5" thickBot="1" x14ac:dyDescent="0.25">
      <c r="A134" s="2"/>
    </row>
    <row r="135" spans="1:3" x14ac:dyDescent="0.2">
      <c r="A135" s="10"/>
      <c r="B135" s="112" t="s">
        <v>33</v>
      </c>
      <c r="C135" s="113">
        <f>SUM(C136:C137)</f>
        <v>0</v>
      </c>
    </row>
    <row r="136" spans="1:3" x14ac:dyDescent="0.2">
      <c r="A136" s="70"/>
      <c r="B136" s="57"/>
      <c r="C136" s="69"/>
    </row>
    <row r="137" spans="1:3" ht="13.5" thickBot="1" x14ac:dyDescent="0.25">
      <c r="A137" s="59"/>
      <c r="B137" s="58"/>
      <c r="C137" s="14"/>
    </row>
    <row r="138" spans="1:3" ht="13.5" thickBot="1" x14ac:dyDescent="0.25">
      <c r="A138" s="2"/>
    </row>
    <row r="139" spans="1:3" x14ac:dyDescent="0.2">
      <c r="A139" s="10"/>
      <c r="B139" s="112" t="s">
        <v>34</v>
      </c>
      <c r="C139" s="113">
        <f>SUM(C140:C145)</f>
        <v>3044.65</v>
      </c>
    </row>
    <row r="140" spans="1:3" x14ac:dyDescent="0.2">
      <c r="A140" s="84">
        <v>45082</v>
      </c>
      <c r="B140" s="91" t="s">
        <v>271</v>
      </c>
      <c r="C140" s="69">
        <v>28.67</v>
      </c>
    </row>
    <row r="141" spans="1:3" x14ac:dyDescent="0.2">
      <c r="A141" s="70">
        <v>45098</v>
      </c>
      <c r="B141" s="91" t="s">
        <v>332</v>
      </c>
      <c r="C141" s="69">
        <f>55*17</f>
        <v>935</v>
      </c>
    </row>
    <row r="142" spans="1:3" x14ac:dyDescent="0.2">
      <c r="A142" s="70">
        <v>45098</v>
      </c>
      <c r="B142" s="57" t="s">
        <v>335</v>
      </c>
      <c r="C142" s="69">
        <f>55*17</f>
        <v>935</v>
      </c>
    </row>
    <row r="143" spans="1:3" x14ac:dyDescent="0.2">
      <c r="A143" s="70">
        <v>45085</v>
      </c>
      <c r="B143" s="57" t="s">
        <v>601</v>
      </c>
      <c r="C143" s="69">
        <v>1145.98</v>
      </c>
    </row>
    <row r="144" spans="1:3" x14ac:dyDescent="0.2">
      <c r="A144" s="70"/>
      <c r="B144" s="57"/>
      <c r="C144" s="69"/>
    </row>
    <row r="145" spans="1:3" ht="13.5" thickBot="1" x14ac:dyDescent="0.25">
      <c r="A145" s="12"/>
      <c r="B145" s="13"/>
      <c r="C145" s="14"/>
    </row>
    <row r="146" spans="1:3" ht="13.5" thickBot="1" x14ac:dyDescent="0.25">
      <c r="A146" s="2"/>
      <c r="C146" s="1"/>
    </row>
    <row r="147" spans="1:3" x14ac:dyDescent="0.2">
      <c r="A147" s="10"/>
      <c r="B147" s="112" t="s">
        <v>35</v>
      </c>
      <c r="C147" s="113">
        <f>SUM(C148:C150)</f>
        <v>3300</v>
      </c>
    </row>
    <row r="148" spans="1:3" x14ac:dyDescent="0.2">
      <c r="A148" s="84">
        <v>45093</v>
      </c>
      <c r="B148" s="57" t="s">
        <v>596</v>
      </c>
      <c r="C148" s="69">
        <v>1300</v>
      </c>
    </row>
    <row r="149" spans="1:3" x14ac:dyDescent="0.2">
      <c r="A149" s="84">
        <v>45093</v>
      </c>
      <c r="B149" s="57" t="s">
        <v>597</v>
      </c>
      <c r="C149" s="69">
        <v>2000</v>
      </c>
    </row>
    <row r="150" spans="1:3" ht="13.5" thickBot="1" x14ac:dyDescent="0.25">
      <c r="A150" s="59"/>
      <c r="B150" s="18"/>
      <c r="C150" s="14"/>
    </row>
    <row r="151" spans="1:3" ht="13.5" thickBot="1" x14ac:dyDescent="0.25">
      <c r="A151" s="2"/>
      <c r="C151" s="1"/>
    </row>
    <row r="152" spans="1:3" x14ac:dyDescent="0.2">
      <c r="A152" s="10"/>
      <c r="B152" s="112" t="s">
        <v>37</v>
      </c>
      <c r="C152" s="113">
        <f>SUM(C153:C160)</f>
        <v>435.4</v>
      </c>
    </row>
    <row r="153" spans="1:3" x14ac:dyDescent="0.2">
      <c r="A153" s="70">
        <v>45098</v>
      </c>
      <c r="B153" s="57" t="s">
        <v>333</v>
      </c>
      <c r="C153" s="69">
        <v>217.7</v>
      </c>
    </row>
    <row r="154" spans="1:3" x14ac:dyDescent="0.2">
      <c r="A154" s="70">
        <v>45098</v>
      </c>
      <c r="B154" s="57" t="s">
        <v>334</v>
      </c>
      <c r="C154" s="69">
        <v>217.7</v>
      </c>
    </row>
    <row r="155" spans="1:3" x14ac:dyDescent="0.2">
      <c r="A155" s="70"/>
      <c r="B155" s="57"/>
      <c r="C155" s="69"/>
    </row>
    <row r="156" spans="1:3" x14ac:dyDescent="0.2">
      <c r="A156" s="70"/>
      <c r="B156" s="57"/>
      <c r="C156" s="69"/>
    </row>
    <row r="157" spans="1:3" x14ac:dyDescent="0.2">
      <c r="A157" s="70"/>
      <c r="B157" s="57"/>
      <c r="C157" s="69"/>
    </row>
    <row r="158" spans="1:3" x14ac:dyDescent="0.2">
      <c r="A158" s="70"/>
      <c r="B158" s="57"/>
      <c r="C158" s="69"/>
    </row>
    <row r="159" spans="1:3" x14ac:dyDescent="0.2">
      <c r="A159" s="70"/>
      <c r="B159" s="57"/>
      <c r="C159" s="69"/>
    </row>
    <row r="160" spans="1:3" ht="13.5" thickBot="1" x14ac:dyDescent="0.25">
      <c r="A160" s="12"/>
      <c r="B160" s="13"/>
      <c r="C160" s="14"/>
    </row>
    <row r="161" spans="1:3" ht="13.5" thickBot="1" x14ac:dyDescent="0.25">
      <c r="A161" s="21"/>
      <c r="B161" s="11"/>
      <c r="C161" s="29"/>
    </row>
    <row r="162" spans="1:3" x14ac:dyDescent="0.2">
      <c r="A162" s="10"/>
      <c r="B162" s="112" t="s">
        <v>54</v>
      </c>
      <c r="C162" s="113">
        <f>SUM(C163:C165)</f>
        <v>0</v>
      </c>
    </row>
    <row r="163" spans="1:3" x14ac:dyDescent="0.2">
      <c r="A163" s="70"/>
      <c r="B163" s="57"/>
      <c r="C163" s="71"/>
    </row>
    <row r="164" spans="1:3" x14ac:dyDescent="0.2">
      <c r="A164" s="70"/>
      <c r="B164" s="57"/>
      <c r="C164" s="71"/>
    </row>
    <row r="165" spans="1:3" ht="13.5" thickBot="1" x14ac:dyDescent="0.25">
      <c r="A165" s="59"/>
      <c r="B165" s="58"/>
      <c r="C165" s="14"/>
    </row>
    <row r="166" spans="1:3" ht="13.5" thickBot="1" x14ac:dyDescent="0.25">
      <c r="A166" s="26"/>
      <c r="B166" s="57"/>
      <c r="C166" s="29"/>
    </row>
    <row r="167" spans="1:3" x14ac:dyDescent="0.2">
      <c r="A167" s="23"/>
      <c r="B167" s="112" t="s">
        <v>38</v>
      </c>
      <c r="C167" s="113">
        <f>SUM(C168:C202)</f>
        <v>99254.17</v>
      </c>
    </row>
    <row r="168" spans="1:3" x14ac:dyDescent="0.2">
      <c r="A168" s="96" t="s">
        <v>303</v>
      </c>
      <c r="B168" s="57" t="s">
        <v>304</v>
      </c>
      <c r="C168" s="69">
        <f>299.2</f>
        <v>299.2</v>
      </c>
    </row>
    <row r="169" spans="1:3" x14ac:dyDescent="0.2">
      <c r="A169" s="96" t="s">
        <v>303</v>
      </c>
      <c r="B169" s="57" t="s">
        <v>305</v>
      </c>
      <c r="C169" s="69">
        <v>300</v>
      </c>
    </row>
    <row r="170" spans="1:3" x14ac:dyDescent="0.2">
      <c r="A170" s="96" t="s">
        <v>303</v>
      </c>
      <c r="B170" s="57" t="s">
        <v>306</v>
      </c>
      <c r="C170" s="69">
        <v>300</v>
      </c>
    </row>
    <row r="171" spans="1:3" x14ac:dyDescent="0.2">
      <c r="A171" s="96" t="s">
        <v>303</v>
      </c>
      <c r="B171" s="57" t="s">
        <v>307</v>
      </c>
      <c r="C171" s="69">
        <v>300</v>
      </c>
    </row>
    <row r="172" spans="1:3" x14ac:dyDescent="0.2">
      <c r="A172" s="96" t="s">
        <v>308</v>
      </c>
      <c r="B172" s="57" t="s">
        <v>309</v>
      </c>
      <c r="C172" s="69">
        <v>503.3</v>
      </c>
    </row>
    <row r="173" spans="1:3" x14ac:dyDescent="0.2">
      <c r="A173" s="96" t="s">
        <v>308</v>
      </c>
      <c r="B173" s="57" t="s">
        <v>310</v>
      </c>
      <c r="C173" s="69">
        <v>513</v>
      </c>
    </row>
    <row r="174" spans="1:3" x14ac:dyDescent="0.2">
      <c r="A174" s="96" t="s">
        <v>308</v>
      </c>
      <c r="B174" s="57" t="s">
        <v>311</v>
      </c>
      <c r="C174" s="69">
        <v>300</v>
      </c>
    </row>
    <row r="175" spans="1:3" x14ac:dyDescent="0.2">
      <c r="A175" s="96" t="s">
        <v>308</v>
      </c>
      <c r="B175" s="57" t="s">
        <v>312</v>
      </c>
      <c r="C175" s="69">
        <v>300</v>
      </c>
    </row>
    <row r="176" spans="1:3" x14ac:dyDescent="0.2">
      <c r="A176" s="96" t="s">
        <v>314</v>
      </c>
      <c r="B176" s="57" t="s">
        <v>313</v>
      </c>
      <c r="C176" s="69">
        <v>1105</v>
      </c>
    </row>
    <row r="177" spans="1:3" x14ac:dyDescent="0.2">
      <c r="A177" s="96" t="s">
        <v>314</v>
      </c>
      <c r="B177" s="57" t="s">
        <v>315</v>
      </c>
      <c r="C177" s="69">
        <v>8763</v>
      </c>
    </row>
    <row r="178" spans="1:3" x14ac:dyDescent="0.2">
      <c r="A178" s="96" t="s">
        <v>314</v>
      </c>
      <c r="B178" s="57" t="s">
        <v>316</v>
      </c>
      <c r="C178" s="69">
        <v>1105</v>
      </c>
    </row>
    <row r="179" spans="1:3" x14ac:dyDescent="0.2">
      <c r="A179" s="96" t="s">
        <v>314</v>
      </c>
      <c r="B179" s="57" t="s">
        <v>317</v>
      </c>
      <c r="C179" s="69">
        <v>8913</v>
      </c>
    </row>
    <row r="180" spans="1:3" x14ac:dyDescent="0.2">
      <c r="A180" s="96" t="s">
        <v>314</v>
      </c>
      <c r="B180" s="57" t="s">
        <v>318</v>
      </c>
      <c r="C180" s="69">
        <v>1105</v>
      </c>
    </row>
    <row r="181" spans="1:3" x14ac:dyDescent="0.2">
      <c r="A181" s="96" t="s">
        <v>314</v>
      </c>
      <c r="B181" s="57" t="s">
        <v>319</v>
      </c>
      <c r="C181" s="69">
        <v>8913</v>
      </c>
    </row>
    <row r="182" spans="1:3" x14ac:dyDescent="0.2">
      <c r="A182" s="96" t="s">
        <v>314</v>
      </c>
      <c r="B182" s="57" t="s">
        <v>320</v>
      </c>
      <c r="C182" s="69">
        <f>379+592</f>
        <v>971</v>
      </c>
    </row>
    <row r="183" spans="1:3" x14ac:dyDescent="0.2">
      <c r="A183" s="96" t="s">
        <v>314</v>
      </c>
      <c r="B183" s="57" t="s">
        <v>321</v>
      </c>
      <c r="C183" s="69">
        <v>7948</v>
      </c>
    </row>
    <row r="184" spans="1:3" x14ac:dyDescent="0.2">
      <c r="A184" s="96" t="s">
        <v>314</v>
      </c>
      <c r="B184" s="57" t="s">
        <v>322</v>
      </c>
      <c r="C184" s="69">
        <v>1105</v>
      </c>
    </row>
    <row r="185" spans="1:3" x14ac:dyDescent="0.2">
      <c r="A185" s="96" t="s">
        <v>314</v>
      </c>
      <c r="B185" s="57" t="s">
        <v>323</v>
      </c>
      <c r="C185" s="69">
        <v>7948</v>
      </c>
    </row>
    <row r="186" spans="1:3" x14ac:dyDescent="0.2">
      <c r="A186" s="96" t="s">
        <v>314</v>
      </c>
      <c r="B186" s="57" t="s">
        <v>324</v>
      </c>
      <c r="C186" s="69">
        <v>1685</v>
      </c>
    </row>
    <row r="187" spans="1:3" x14ac:dyDescent="0.2">
      <c r="A187" s="96" t="s">
        <v>314</v>
      </c>
      <c r="B187" s="57" t="s">
        <v>325</v>
      </c>
      <c r="C187" s="69">
        <v>7948</v>
      </c>
    </row>
    <row r="188" spans="1:3" x14ac:dyDescent="0.2">
      <c r="A188" s="96" t="s">
        <v>314</v>
      </c>
      <c r="B188" s="57" t="s">
        <v>326</v>
      </c>
      <c r="C188" s="69">
        <v>1229</v>
      </c>
    </row>
    <row r="189" spans="1:3" x14ac:dyDescent="0.2">
      <c r="A189" s="96" t="s">
        <v>314</v>
      </c>
      <c r="B189" s="57" t="s">
        <v>327</v>
      </c>
      <c r="C189" s="69">
        <v>6437</v>
      </c>
    </row>
    <row r="190" spans="1:3" x14ac:dyDescent="0.2">
      <c r="A190" s="96" t="s">
        <v>328</v>
      </c>
      <c r="B190" s="57" t="s">
        <v>329</v>
      </c>
      <c r="C190" s="69">
        <v>13152.87</v>
      </c>
    </row>
    <row r="191" spans="1:3" x14ac:dyDescent="0.2">
      <c r="A191" s="96" t="s">
        <v>328</v>
      </c>
      <c r="B191" s="57" t="s">
        <v>330</v>
      </c>
      <c r="C191" s="69">
        <f>9024.6</f>
        <v>9024.6</v>
      </c>
    </row>
    <row r="192" spans="1:3" x14ac:dyDescent="0.2">
      <c r="A192" s="96" t="s">
        <v>328</v>
      </c>
      <c r="B192" s="57" t="s">
        <v>331</v>
      </c>
      <c r="C192" s="69">
        <v>6437</v>
      </c>
    </row>
    <row r="193" spans="1:3" x14ac:dyDescent="0.2">
      <c r="A193" s="96" t="s">
        <v>303</v>
      </c>
      <c r="B193" s="57" t="s">
        <v>389</v>
      </c>
      <c r="C193" s="69">
        <v>299.2</v>
      </c>
    </row>
    <row r="194" spans="1:3" x14ac:dyDescent="0.2">
      <c r="A194" s="96" t="s">
        <v>303</v>
      </c>
      <c r="B194" s="57" t="s">
        <v>390</v>
      </c>
      <c r="C194" s="69">
        <v>300</v>
      </c>
    </row>
    <row r="195" spans="1:3" x14ac:dyDescent="0.2">
      <c r="A195" s="96" t="s">
        <v>303</v>
      </c>
      <c r="B195" s="57" t="s">
        <v>391</v>
      </c>
      <c r="C195" s="69">
        <v>300</v>
      </c>
    </row>
    <row r="196" spans="1:3" x14ac:dyDescent="0.2">
      <c r="A196" s="96" t="s">
        <v>303</v>
      </c>
      <c r="B196" s="57" t="s">
        <v>392</v>
      </c>
      <c r="C196" s="69">
        <v>300</v>
      </c>
    </row>
    <row r="197" spans="1:3" x14ac:dyDescent="0.2">
      <c r="A197" s="96" t="s">
        <v>452</v>
      </c>
      <c r="B197" s="57" t="s">
        <v>453</v>
      </c>
      <c r="C197" s="69">
        <v>1450</v>
      </c>
    </row>
    <row r="198" spans="1:3" x14ac:dyDescent="0.2">
      <c r="A198" s="96"/>
      <c r="B198" s="57"/>
      <c r="C198" s="69"/>
    </row>
    <row r="199" spans="1:3" x14ac:dyDescent="0.2">
      <c r="A199" s="96"/>
      <c r="B199" s="57"/>
      <c r="C199" s="69"/>
    </row>
    <row r="200" spans="1:3" x14ac:dyDescent="0.2">
      <c r="A200" s="96"/>
      <c r="B200" s="57"/>
      <c r="C200" s="69"/>
    </row>
    <row r="201" spans="1:3" x14ac:dyDescent="0.2">
      <c r="A201" s="73"/>
      <c r="B201" s="57"/>
      <c r="C201" s="69"/>
    </row>
    <row r="202" spans="1:3" ht="13.5" thickBot="1" x14ac:dyDescent="0.25">
      <c r="A202" s="24"/>
      <c r="B202" s="58"/>
      <c r="C202" s="14"/>
    </row>
    <row r="203" spans="1:3" ht="13.5" thickBot="1" x14ac:dyDescent="0.25">
      <c r="A203" s="26"/>
      <c r="B203" s="57"/>
      <c r="C203" s="29"/>
    </row>
    <row r="204" spans="1:3" x14ac:dyDescent="0.2">
      <c r="A204" s="10"/>
      <c r="B204" s="112" t="s">
        <v>27</v>
      </c>
      <c r="C204" s="113">
        <f>SUM(C205:C211)</f>
        <v>0</v>
      </c>
    </row>
    <row r="205" spans="1:3" x14ac:dyDescent="0.2">
      <c r="A205" s="70"/>
      <c r="B205" s="57"/>
      <c r="C205" s="69"/>
    </row>
    <row r="206" spans="1:3" x14ac:dyDescent="0.2">
      <c r="A206" s="70"/>
      <c r="B206" s="57"/>
      <c r="C206" s="69"/>
    </row>
    <row r="207" spans="1:3" x14ac:dyDescent="0.2">
      <c r="A207" s="70"/>
      <c r="B207" s="57"/>
      <c r="C207" s="69"/>
    </row>
    <row r="208" spans="1:3" x14ac:dyDescent="0.2">
      <c r="A208" s="70"/>
      <c r="B208" s="57"/>
      <c r="C208" s="69"/>
    </row>
    <row r="209" spans="1:3" x14ac:dyDescent="0.2">
      <c r="A209" s="70"/>
      <c r="B209" s="57"/>
      <c r="C209" s="69"/>
    </row>
    <row r="210" spans="1:3" x14ac:dyDescent="0.2">
      <c r="A210" s="70"/>
      <c r="B210" s="57"/>
      <c r="C210" s="69"/>
    </row>
    <row r="211" spans="1:3" ht="13.5" thickBot="1" x14ac:dyDescent="0.25">
      <c r="A211" s="59"/>
      <c r="B211" s="13"/>
      <c r="C211" s="14"/>
    </row>
    <row r="212" spans="1:3" x14ac:dyDescent="0.2">
      <c r="A212" s="2"/>
    </row>
    <row r="213" spans="1:3" ht="13.5" thickBot="1" x14ac:dyDescent="0.25">
      <c r="A213" s="28"/>
      <c r="B213" s="8"/>
      <c r="C213" s="8"/>
    </row>
    <row r="214" spans="1:3" ht="13.5" thickBot="1" x14ac:dyDescent="0.25">
      <c r="A214" s="117"/>
      <c r="B214" s="115" t="s">
        <v>0</v>
      </c>
      <c r="C214" s="116">
        <f>SUM(C215:C215)</f>
        <v>0</v>
      </c>
    </row>
    <row r="215" spans="1:3" ht="13.5" thickBot="1" x14ac:dyDescent="0.25">
      <c r="A215" s="128"/>
      <c r="B215" s="129"/>
      <c r="C215" s="64"/>
    </row>
    <row r="217" spans="1:3" x14ac:dyDescent="0.2">
      <c r="A217" s="1"/>
      <c r="B217" s="1"/>
    </row>
    <row r="218" spans="1:3" x14ac:dyDescent="0.2">
      <c r="A218" s="1"/>
      <c r="B218" s="1"/>
      <c r="C218" s="4"/>
    </row>
    <row r="219" spans="1:3" x14ac:dyDescent="0.2">
      <c r="A219" s="1"/>
      <c r="B219" s="1"/>
    </row>
    <row r="220" spans="1:3" x14ac:dyDescent="0.2">
      <c r="A220" s="1"/>
      <c r="B220" s="1"/>
    </row>
    <row r="221" spans="1:3" x14ac:dyDescent="0.2">
      <c r="A221" s="1"/>
      <c r="B221" s="1"/>
    </row>
    <row r="222" spans="1:3" x14ac:dyDescent="0.2">
      <c r="A222" s="1"/>
      <c r="B222" s="1"/>
    </row>
    <row r="223" spans="1:3" x14ac:dyDescent="0.2">
      <c r="A223" s="1"/>
      <c r="B223" s="1"/>
    </row>
    <row r="224" spans="1:3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/>
    </row>
    <row r="230" spans="1:2" x14ac:dyDescent="0.2">
      <c r="A230" s="25"/>
    </row>
    <row r="231" spans="1:2" x14ac:dyDescent="0.2">
      <c r="A231" s="25"/>
    </row>
    <row r="232" spans="1:2" x14ac:dyDescent="0.2">
      <c r="A232" s="25"/>
    </row>
    <row r="233" spans="1:2" x14ac:dyDescent="0.2">
      <c r="A233" s="25"/>
    </row>
    <row r="234" spans="1:2" x14ac:dyDescent="0.2">
      <c r="A234" s="25"/>
    </row>
    <row r="235" spans="1:2" x14ac:dyDescent="0.2">
      <c r="A235" s="25"/>
    </row>
    <row r="236" spans="1:2" x14ac:dyDescent="0.2">
      <c r="A236" s="25"/>
    </row>
    <row r="237" spans="1:2" x14ac:dyDescent="0.2">
      <c r="A237" s="25"/>
    </row>
    <row r="238" spans="1:2" x14ac:dyDescent="0.2">
      <c r="A238" s="25"/>
    </row>
    <row r="239" spans="1:2" x14ac:dyDescent="0.2">
      <c r="A239" s="25"/>
    </row>
    <row r="240" spans="1:2" x14ac:dyDescent="0.2">
      <c r="A240" s="25"/>
    </row>
    <row r="241" spans="1:1" x14ac:dyDescent="0.2">
      <c r="A241" s="25"/>
    </row>
    <row r="242" spans="1:1" x14ac:dyDescent="0.2">
      <c r="A242" s="25"/>
    </row>
    <row r="243" spans="1:1" x14ac:dyDescent="0.2">
      <c r="A243" s="25"/>
    </row>
    <row r="244" spans="1:1" x14ac:dyDescent="0.2">
      <c r="A244" s="25"/>
    </row>
    <row r="245" spans="1:1" x14ac:dyDescent="0.2">
      <c r="A245" s="25"/>
    </row>
    <row r="246" spans="1:1" x14ac:dyDescent="0.2">
      <c r="A246" s="25"/>
    </row>
  </sheetData>
  <mergeCells count="1">
    <mergeCell ref="A2:B2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C188"/>
  <sheetViews>
    <sheetView topLeftCell="A154" workbookViewId="0">
      <selection activeCell="B176" sqref="B176"/>
    </sheetView>
  </sheetViews>
  <sheetFormatPr defaultRowHeight="12.75" x14ac:dyDescent="0.2"/>
  <cols>
    <col min="1" max="1" width="9.140625" style="22"/>
    <col min="2" max="2" width="84.28515625" customWidth="1"/>
    <col min="3" max="3" width="18.42578125" customWidth="1"/>
  </cols>
  <sheetData>
    <row r="1" spans="1:3" ht="13.5" thickBot="1" x14ac:dyDescent="0.25">
      <c r="A1"/>
    </row>
    <row r="2" spans="1:3" ht="13.5" thickBot="1" x14ac:dyDescent="0.25">
      <c r="A2" s="147" t="s">
        <v>69</v>
      </c>
      <c r="B2" s="148"/>
      <c r="C2" s="20">
        <f>C4+C74</f>
        <v>184074.49</v>
      </c>
    </row>
    <row r="3" spans="1:3" ht="13.5" thickBot="1" x14ac:dyDescent="0.25">
      <c r="A3" s="16" t="s">
        <v>20</v>
      </c>
      <c r="B3" s="15" t="s">
        <v>21</v>
      </c>
      <c r="C3" s="17" t="s">
        <v>22</v>
      </c>
    </row>
    <row r="4" spans="1:3" ht="13.5" thickBot="1" x14ac:dyDescent="0.25">
      <c r="A4" s="114"/>
      <c r="B4" s="115" t="s">
        <v>23</v>
      </c>
      <c r="C4" s="116">
        <f>C5+C10+C16+C21+C24+C31+C34+C40+C51+C57+C61+C65+C68</f>
        <v>42720.710000000006</v>
      </c>
    </row>
    <row r="5" spans="1:3" x14ac:dyDescent="0.2">
      <c r="A5" s="10"/>
      <c r="B5" s="112" t="s">
        <v>36</v>
      </c>
      <c r="C5" s="113">
        <f>SUM(C6:C8)</f>
        <v>0</v>
      </c>
    </row>
    <row r="6" spans="1:3" x14ac:dyDescent="0.2">
      <c r="A6" s="84"/>
      <c r="B6" s="57"/>
      <c r="C6" s="71"/>
    </row>
    <row r="7" spans="1:3" x14ac:dyDescent="0.2">
      <c r="A7" s="84"/>
      <c r="B7" s="57"/>
      <c r="C7" s="71"/>
    </row>
    <row r="8" spans="1:3" ht="13.5" thickBot="1" x14ac:dyDescent="0.25">
      <c r="A8" s="59"/>
      <c r="B8" s="13"/>
      <c r="C8" s="14"/>
    </row>
    <row r="9" spans="1:3" ht="13.5" thickBot="1" x14ac:dyDescent="0.25">
      <c r="A9" s="21"/>
      <c r="B9" s="11"/>
      <c r="C9" s="29"/>
    </row>
    <row r="10" spans="1:3" x14ac:dyDescent="0.2">
      <c r="A10" s="10"/>
      <c r="B10" s="112" t="s">
        <v>47</v>
      </c>
      <c r="C10" s="113">
        <f>SUM(C11:C14)</f>
        <v>9476.4600000000009</v>
      </c>
    </row>
    <row r="11" spans="1:3" x14ac:dyDescent="0.2">
      <c r="A11" s="70">
        <v>45112</v>
      </c>
      <c r="B11" s="57" t="s">
        <v>297</v>
      </c>
      <c r="C11" s="69">
        <f>1840.29+2380.07+2370.05+2886.05</f>
        <v>9476.4600000000009</v>
      </c>
    </row>
    <row r="12" spans="1:3" x14ac:dyDescent="0.2">
      <c r="A12" s="70"/>
      <c r="B12" s="57"/>
      <c r="C12" s="69"/>
    </row>
    <row r="13" spans="1:3" x14ac:dyDescent="0.2">
      <c r="A13" s="70"/>
      <c r="B13" s="57"/>
      <c r="C13" s="69"/>
    </row>
    <row r="14" spans="1:3" ht="13.5" thickBot="1" x14ac:dyDescent="0.25">
      <c r="A14" s="12"/>
      <c r="B14" s="13"/>
      <c r="C14" s="14"/>
    </row>
    <row r="15" spans="1:3" ht="13.5" thickBot="1" x14ac:dyDescent="0.25">
      <c r="A15" s="21"/>
      <c r="B15" s="11"/>
      <c r="C15" s="29"/>
    </row>
    <row r="16" spans="1:3" x14ac:dyDescent="0.2">
      <c r="A16" s="10"/>
      <c r="B16" s="112" t="s">
        <v>48</v>
      </c>
      <c r="C16" s="113">
        <f>SUM(C17:C19)</f>
        <v>5125.0400000000009</v>
      </c>
    </row>
    <row r="17" spans="1:3" x14ac:dyDescent="0.2">
      <c r="A17" s="84">
        <v>45114</v>
      </c>
      <c r="B17" s="57" t="s">
        <v>296</v>
      </c>
      <c r="C17" s="69">
        <f>881.84</f>
        <v>881.84</v>
      </c>
    </row>
    <row r="18" spans="1:3" x14ac:dyDescent="0.2">
      <c r="A18" s="84">
        <v>45112</v>
      </c>
      <c r="B18" s="57" t="s">
        <v>298</v>
      </c>
      <c r="C18" s="69">
        <f>900.03+225.01+800+1679.39+638.77</f>
        <v>4243.2000000000007</v>
      </c>
    </row>
    <row r="19" spans="1:3" ht="13.5" thickBot="1" x14ac:dyDescent="0.25">
      <c r="A19" s="59"/>
      <c r="B19" s="18"/>
      <c r="C19" s="14"/>
    </row>
    <row r="20" spans="1:3" ht="13.5" thickBot="1" x14ac:dyDescent="0.25">
      <c r="A20" s="2"/>
      <c r="C20" s="4"/>
    </row>
    <row r="21" spans="1:3" x14ac:dyDescent="0.2">
      <c r="A21" s="10"/>
      <c r="B21" s="112" t="s">
        <v>24</v>
      </c>
      <c r="C21" s="113">
        <f>C22</f>
        <v>0</v>
      </c>
    </row>
    <row r="22" spans="1:3" ht="13.5" thickBot="1" x14ac:dyDescent="0.25">
      <c r="A22" s="59"/>
      <c r="B22" s="13"/>
      <c r="C22" s="14"/>
    </row>
    <row r="23" spans="1:3" ht="13.5" thickBot="1" x14ac:dyDescent="0.25">
      <c r="A23" s="2"/>
      <c r="C23" s="4"/>
    </row>
    <row r="24" spans="1:3" x14ac:dyDescent="0.2">
      <c r="A24" s="10"/>
      <c r="B24" s="112" t="s">
        <v>25</v>
      </c>
      <c r="C24" s="113">
        <f>SUM(C25:C29)</f>
        <v>1119</v>
      </c>
    </row>
    <row r="25" spans="1:3" x14ac:dyDescent="0.2">
      <c r="A25" s="70">
        <v>45114</v>
      </c>
      <c r="B25" s="57" t="s">
        <v>293</v>
      </c>
      <c r="C25" s="69">
        <f>132+180+450+132</f>
        <v>894</v>
      </c>
    </row>
    <row r="26" spans="1:3" x14ac:dyDescent="0.2">
      <c r="A26" s="70">
        <v>45112</v>
      </c>
      <c r="B26" s="57" t="s">
        <v>301</v>
      </c>
      <c r="C26" s="69">
        <f>225</f>
        <v>225</v>
      </c>
    </row>
    <row r="27" spans="1:3" x14ac:dyDescent="0.2">
      <c r="A27" s="70"/>
      <c r="B27" s="57"/>
      <c r="C27" s="69"/>
    </row>
    <row r="28" spans="1:3" x14ac:dyDescent="0.2">
      <c r="A28" s="70"/>
      <c r="B28" s="57"/>
      <c r="C28" s="69"/>
    </row>
    <row r="29" spans="1:3" ht="13.5" thickBot="1" x14ac:dyDescent="0.25">
      <c r="A29" s="12"/>
      <c r="B29" s="13"/>
      <c r="C29" s="14"/>
    </row>
    <row r="30" spans="1:3" ht="13.5" thickBot="1" x14ac:dyDescent="0.25">
      <c r="A30" s="2"/>
      <c r="C30" s="4"/>
    </row>
    <row r="31" spans="1:3" x14ac:dyDescent="0.2">
      <c r="A31" s="10"/>
      <c r="B31" s="112" t="s">
        <v>19</v>
      </c>
      <c r="C31" s="113">
        <f>SUM(C32:C32)</f>
        <v>1426.48</v>
      </c>
    </row>
    <row r="32" spans="1:3" ht="13.5" thickBot="1" x14ac:dyDescent="0.25">
      <c r="A32" s="59">
        <v>45118</v>
      </c>
      <c r="B32" s="18" t="s">
        <v>289</v>
      </c>
      <c r="C32" s="14">
        <f>865.6+245+315.88</f>
        <v>1426.48</v>
      </c>
    </row>
    <row r="33" spans="1:3" ht="13.5" thickBot="1" x14ac:dyDescent="0.25">
      <c r="A33" s="2"/>
      <c r="C33" s="4"/>
    </row>
    <row r="34" spans="1:3" x14ac:dyDescent="0.2">
      <c r="A34" s="10"/>
      <c r="B34" s="112" t="s">
        <v>58</v>
      </c>
      <c r="C34" s="113">
        <f>SUM(C35:C38)</f>
        <v>17965.61</v>
      </c>
    </row>
    <row r="35" spans="1:3" x14ac:dyDescent="0.2">
      <c r="A35" s="70">
        <v>45114</v>
      </c>
      <c r="B35" s="57" t="s">
        <v>294</v>
      </c>
      <c r="C35" s="69">
        <f>116</f>
        <v>116</v>
      </c>
    </row>
    <row r="36" spans="1:3" x14ac:dyDescent="0.2">
      <c r="A36" s="70">
        <v>45121</v>
      </c>
      <c r="B36" s="57" t="s">
        <v>408</v>
      </c>
      <c r="C36" s="69">
        <f>516.61+17333</f>
        <v>17849.61</v>
      </c>
    </row>
    <row r="37" spans="1:3" x14ac:dyDescent="0.2">
      <c r="A37" s="70"/>
      <c r="B37" s="57"/>
      <c r="C37" s="69"/>
    </row>
    <row r="38" spans="1:3" ht="13.5" thickBot="1" x14ac:dyDescent="0.25">
      <c r="A38" s="59"/>
      <c r="B38" s="58"/>
      <c r="C38" s="14"/>
    </row>
    <row r="39" spans="1:3" ht="13.5" thickBot="1" x14ac:dyDescent="0.25">
      <c r="A39" s="2"/>
    </row>
    <row r="40" spans="1:3" x14ac:dyDescent="0.2">
      <c r="A40" s="10"/>
      <c r="B40" s="112" t="s">
        <v>55</v>
      </c>
      <c r="C40" s="113">
        <f>SUM(C41:C49)</f>
        <v>7328.76</v>
      </c>
    </row>
    <row r="41" spans="1:3" x14ac:dyDescent="0.2">
      <c r="A41" s="80">
        <v>45121</v>
      </c>
      <c r="B41" s="57" t="s">
        <v>413</v>
      </c>
      <c r="C41" s="69">
        <v>315</v>
      </c>
    </row>
    <row r="42" spans="1:3" x14ac:dyDescent="0.2">
      <c r="A42" s="80">
        <v>45117</v>
      </c>
      <c r="B42" s="57" t="s">
        <v>450</v>
      </c>
      <c r="C42" s="69">
        <v>7013.76</v>
      </c>
    </row>
    <row r="43" spans="1:3" x14ac:dyDescent="0.2">
      <c r="A43" s="80"/>
      <c r="B43" s="57"/>
      <c r="C43" s="69"/>
    </row>
    <row r="44" spans="1:3" x14ac:dyDescent="0.2">
      <c r="A44" s="80"/>
      <c r="B44" s="57"/>
      <c r="C44" s="69"/>
    </row>
    <row r="45" spans="1:3" x14ac:dyDescent="0.2">
      <c r="A45" s="80"/>
      <c r="B45" s="57"/>
      <c r="C45" s="69"/>
    </row>
    <row r="46" spans="1:3" x14ac:dyDescent="0.2">
      <c r="A46" s="80"/>
      <c r="B46" s="57"/>
      <c r="C46" s="69"/>
    </row>
    <row r="47" spans="1:3" x14ac:dyDescent="0.2">
      <c r="A47" s="80"/>
      <c r="B47" s="57"/>
      <c r="C47" s="69"/>
    </row>
    <row r="48" spans="1:3" x14ac:dyDescent="0.2">
      <c r="A48" s="80"/>
      <c r="B48" s="57"/>
      <c r="C48" s="69"/>
    </row>
    <row r="49" spans="1:3" ht="13.5" thickBot="1" x14ac:dyDescent="0.25">
      <c r="A49" s="12"/>
      <c r="B49" s="58"/>
      <c r="C49" s="14"/>
    </row>
    <row r="50" spans="1:3" ht="13.5" thickBot="1" x14ac:dyDescent="0.25">
      <c r="A50" s="21"/>
      <c r="B50" s="57"/>
      <c r="C50" s="29"/>
    </row>
    <row r="51" spans="1:3" x14ac:dyDescent="0.2">
      <c r="A51" s="10"/>
      <c r="B51" s="112" t="s">
        <v>56</v>
      </c>
      <c r="C51" s="113">
        <f>SUM(C52:C55)</f>
        <v>279.36</v>
      </c>
    </row>
    <row r="52" spans="1:3" x14ac:dyDescent="0.2">
      <c r="A52" s="70">
        <v>45114</v>
      </c>
      <c r="B52" s="57" t="s">
        <v>295</v>
      </c>
      <c r="C52" s="71">
        <v>86.4</v>
      </c>
    </row>
    <row r="53" spans="1:3" x14ac:dyDescent="0.2">
      <c r="A53" s="70">
        <v>45112</v>
      </c>
      <c r="B53" s="57" t="s">
        <v>302</v>
      </c>
      <c r="C53" s="71">
        <f>129+63.96</f>
        <v>192.96</v>
      </c>
    </row>
    <row r="54" spans="1:3" x14ac:dyDescent="0.2">
      <c r="A54" s="70"/>
      <c r="B54" s="57"/>
      <c r="C54" s="71"/>
    </row>
    <row r="55" spans="1:3" ht="13.5" thickBot="1" x14ac:dyDescent="0.25">
      <c r="A55" s="59"/>
      <c r="B55" s="58"/>
      <c r="C55" s="143"/>
    </row>
    <row r="56" spans="1:3" ht="13.5" thickBot="1" x14ac:dyDescent="0.25">
      <c r="A56" s="21"/>
      <c r="B56" s="57"/>
      <c r="C56" s="29"/>
    </row>
    <row r="57" spans="1:3" x14ac:dyDescent="0.2">
      <c r="A57" s="10"/>
      <c r="B57" s="112" t="s">
        <v>41</v>
      </c>
      <c r="C57" s="113">
        <f>SUM(C58:C59)</f>
        <v>0</v>
      </c>
    </row>
    <row r="58" spans="1:3" x14ac:dyDescent="0.2">
      <c r="A58" s="70"/>
      <c r="B58" s="57"/>
      <c r="C58" s="69"/>
    </row>
    <row r="59" spans="1:3" ht="13.5" thickBot="1" x14ac:dyDescent="0.25">
      <c r="A59" s="59"/>
      <c r="B59" s="58"/>
      <c r="C59" s="14"/>
    </row>
    <row r="60" spans="1:3" ht="13.5" thickBot="1" x14ac:dyDescent="0.25">
      <c r="A60" s="2"/>
    </row>
    <row r="61" spans="1:3" x14ac:dyDescent="0.2">
      <c r="A61" s="10"/>
      <c r="B61" s="112" t="s">
        <v>28</v>
      </c>
      <c r="C61" s="113">
        <f>SUM(C62:C63)</f>
        <v>0</v>
      </c>
    </row>
    <row r="62" spans="1:3" x14ac:dyDescent="0.2">
      <c r="A62" s="70"/>
      <c r="B62" s="57"/>
      <c r="C62" s="71"/>
    </row>
    <row r="63" spans="1:3" ht="13.5" thickBot="1" x14ac:dyDescent="0.25">
      <c r="A63" s="59"/>
      <c r="B63" s="13"/>
      <c r="C63" s="14"/>
    </row>
    <row r="64" spans="1:3" ht="13.5" thickBot="1" x14ac:dyDescent="0.25">
      <c r="A64" s="2"/>
    </row>
    <row r="65" spans="1:3" x14ac:dyDescent="0.2">
      <c r="A65" s="10"/>
      <c r="B65" s="112" t="s">
        <v>57</v>
      </c>
      <c r="C65" s="113">
        <f>SUM(C66)</f>
        <v>0</v>
      </c>
    </row>
    <row r="66" spans="1:3" ht="13.5" thickBot="1" x14ac:dyDescent="0.25">
      <c r="A66" s="59"/>
      <c r="B66" s="58"/>
      <c r="C66" s="14"/>
    </row>
    <row r="67" spans="1:3" ht="13.5" thickBot="1" x14ac:dyDescent="0.25">
      <c r="A67" s="2"/>
    </row>
    <row r="68" spans="1:3" x14ac:dyDescent="0.2">
      <c r="A68" s="10"/>
      <c r="B68" s="112" t="s">
        <v>27</v>
      </c>
      <c r="C68" s="113">
        <f>SUM(C69:C71)</f>
        <v>0</v>
      </c>
    </row>
    <row r="69" spans="1:3" x14ac:dyDescent="0.2">
      <c r="A69" s="70"/>
      <c r="B69" s="57"/>
      <c r="C69" s="69"/>
    </row>
    <row r="70" spans="1:3" x14ac:dyDescent="0.2">
      <c r="A70" s="70"/>
      <c r="B70" s="57"/>
      <c r="C70" s="69"/>
    </row>
    <row r="71" spans="1:3" ht="13.5" thickBot="1" x14ac:dyDescent="0.25">
      <c r="A71" s="12"/>
      <c r="B71" s="13"/>
      <c r="C71" s="14"/>
    </row>
    <row r="72" spans="1:3" x14ac:dyDescent="0.2">
      <c r="A72" s="2"/>
      <c r="B72" s="7"/>
    </row>
    <row r="73" spans="1:3" ht="13.5" thickBot="1" x14ac:dyDescent="0.25">
      <c r="A73" s="9"/>
      <c r="B73" s="8"/>
      <c r="C73" s="8"/>
    </row>
    <row r="74" spans="1:3" ht="13.5" thickBot="1" x14ac:dyDescent="0.25">
      <c r="A74" s="114"/>
      <c r="B74" s="115" t="s">
        <v>29</v>
      </c>
      <c r="C74" s="116">
        <f>C75+C80+C84+C88+C91+C94+C97+C100+C106+C110+C115+C118+C121+C128+C133+C143+C147+C175</f>
        <v>141353.78</v>
      </c>
    </row>
    <row r="75" spans="1:3" x14ac:dyDescent="0.2">
      <c r="A75" s="10"/>
      <c r="B75" s="112" t="s">
        <v>26</v>
      </c>
      <c r="C75" s="113">
        <f>SUM(C76:C78)</f>
        <v>18676</v>
      </c>
    </row>
    <row r="76" spans="1:3" x14ac:dyDescent="0.2">
      <c r="A76" s="70">
        <v>45121</v>
      </c>
      <c r="B76" s="57" t="s">
        <v>411</v>
      </c>
      <c r="C76" s="71">
        <v>2320</v>
      </c>
    </row>
    <row r="77" spans="1:3" x14ac:dyDescent="0.2">
      <c r="A77" s="70">
        <v>45121</v>
      </c>
      <c r="B77" s="57" t="s">
        <v>412</v>
      </c>
      <c r="C77" s="71">
        <v>16356</v>
      </c>
    </row>
    <row r="78" spans="1:3" ht="13.5" thickBot="1" x14ac:dyDescent="0.25">
      <c r="A78" s="59"/>
      <c r="B78" s="13"/>
      <c r="C78" s="14"/>
    </row>
    <row r="79" spans="1:3" ht="13.5" thickBot="1" x14ac:dyDescent="0.25">
      <c r="A79" s="2"/>
      <c r="C79" s="4"/>
    </row>
    <row r="80" spans="1:3" x14ac:dyDescent="0.2">
      <c r="A80" s="10"/>
      <c r="B80" s="112" t="s">
        <v>53</v>
      </c>
      <c r="C80" s="113">
        <f>SUM(C81:C82)</f>
        <v>0</v>
      </c>
    </row>
    <row r="81" spans="1:3" x14ac:dyDescent="0.2">
      <c r="A81" s="70"/>
      <c r="B81" s="57"/>
      <c r="C81" s="71"/>
    </row>
    <row r="82" spans="1:3" ht="13.5" thickBot="1" x14ac:dyDescent="0.25">
      <c r="A82" s="12"/>
      <c r="B82" s="61"/>
      <c r="C82" s="14"/>
    </row>
    <row r="83" spans="1:3" ht="13.5" thickBot="1" x14ac:dyDescent="0.25">
      <c r="A83" s="21"/>
      <c r="B83" s="60"/>
      <c r="C83" s="29"/>
    </row>
    <row r="84" spans="1:3" x14ac:dyDescent="0.2">
      <c r="A84" s="10"/>
      <c r="B84" s="112" t="s">
        <v>51</v>
      </c>
      <c r="C84" s="113">
        <f>SUM(C85:C86)</f>
        <v>0</v>
      </c>
    </row>
    <row r="85" spans="1:3" x14ac:dyDescent="0.2">
      <c r="A85" s="70"/>
      <c r="B85" s="57"/>
      <c r="C85" s="69"/>
    </row>
    <row r="86" spans="1:3" ht="13.5" thickBot="1" x14ac:dyDescent="0.25">
      <c r="A86" s="12"/>
      <c r="B86" s="61"/>
      <c r="C86" s="14"/>
    </row>
    <row r="87" spans="1:3" ht="13.5" thickBot="1" x14ac:dyDescent="0.25">
      <c r="A87" s="21"/>
      <c r="B87" s="60"/>
      <c r="C87" s="29"/>
    </row>
    <row r="88" spans="1:3" x14ac:dyDescent="0.2">
      <c r="A88" s="10"/>
      <c r="B88" s="112" t="s">
        <v>49</v>
      </c>
      <c r="C88" s="113">
        <f>C89</f>
        <v>0</v>
      </c>
    </row>
    <row r="89" spans="1:3" ht="13.5" thickBot="1" x14ac:dyDescent="0.25">
      <c r="A89" s="59"/>
      <c r="B89" s="58"/>
      <c r="C89" s="14"/>
    </row>
    <row r="90" spans="1:3" ht="13.5" thickBot="1" x14ac:dyDescent="0.25">
      <c r="A90" s="107"/>
      <c r="B90" s="57"/>
      <c r="C90" s="29"/>
    </row>
    <row r="91" spans="1:3" x14ac:dyDescent="0.2">
      <c r="A91" s="10"/>
      <c r="B91" s="112" t="s">
        <v>75</v>
      </c>
      <c r="C91" s="113">
        <f>SUM(C92)</f>
        <v>0</v>
      </c>
    </row>
    <row r="92" spans="1:3" ht="13.5" thickBot="1" x14ac:dyDescent="0.25">
      <c r="A92" s="59"/>
      <c r="B92" s="58"/>
      <c r="C92" s="14"/>
    </row>
    <row r="93" spans="1:3" ht="13.5" thickBot="1" x14ac:dyDescent="0.25">
      <c r="A93" s="2"/>
    </row>
    <row r="94" spans="1:3" x14ac:dyDescent="0.2">
      <c r="A94" s="10"/>
      <c r="B94" s="112" t="s">
        <v>77</v>
      </c>
      <c r="C94" s="113">
        <f>C95</f>
        <v>0</v>
      </c>
    </row>
    <row r="95" spans="1:3" ht="13.5" thickBot="1" x14ac:dyDescent="0.25">
      <c r="A95" s="59"/>
      <c r="B95" s="13"/>
      <c r="C95" s="14"/>
    </row>
    <row r="96" spans="1:3" ht="13.5" thickBot="1" x14ac:dyDescent="0.25">
      <c r="A96" s="2"/>
      <c r="C96" s="1"/>
    </row>
    <row r="97" spans="1:3" x14ac:dyDescent="0.2">
      <c r="A97" s="10"/>
      <c r="B97" s="112" t="s">
        <v>78</v>
      </c>
      <c r="C97" s="113">
        <f>C98</f>
        <v>0</v>
      </c>
    </row>
    <row r="98" spans="1:3" ht="13.5" thickBot="1" x14ac:dyDescent="0.25">
      <c r="A98" s="12"/>
      <c r="B98" s="18"/>
      <c r="C98" s="14"/>
    </row>
    <row r="99" spans="1:3" ht="13.5" thickBot="1" x14ac:dyDescent="0.25">
      <c r="A99" s="2"/>
      <c r="C99" s="4"/>
    </row>
    <row r="100" spans="1:3" x14ac:dyDescent="0.2">
      <c r="A100" s="10"/>
      <c r="B100" s="112" t="s">
        <v>30</v>
      </c>
      <c r="C100" s="113">
        <f>SUM(C101:C104)</f>
        <v>11600</v>
      </c>
    </row>
    <row r="101" spans="1:3" x14ac:dyDescent="0.2">
      <c r="A101" s="70">
        <v>45121</v>
      </c>
      <c r="B101" s="57" t="s">
        <v>409</v>
      </c>
      <c r="C101" s="71">
        <f>5800+5800</f>
        <v>11600</v>
      </c>
    </row>
    <row r="102" spans="1:3" x14ac:dyDescent="0.2">
      <c r="A102" s="70"/>
      <c r="B102" s="57"/>
      <c r="C102" s="71"/>
    </row>
    <row r="103" spans="1:3" x14ac:dyDescent="0.2">
      <c r="A103" s="70"/>
      <c r="B103" s="57"/>
      <c r="C103" s="71"/>
    </row>
    <row r="104" spans="1:3" ht="13.5" thickBot="1" x14ac:dyDescent="0.25">
      <c r="A104" s="59"/>
      <c r="B104" s="13"/>
      <c r="C104" s="14"/>
    </row>
    <row r="105" spans="1:3" ht="13.5" thickBot="1" x14ac:dyDescent="0.25">
      <c r="A105" s="2"/>
      <c r="C105" s="4"/>
    </row>
    <row r="106" spans="1:3" x14ac:dyDescent="0.2">
      <c r="A106" s="10"/>
      <c r="B106" s="112" t="s">
        <v>18</v>
      </c>
      <c r="C106" s="113">
        <f>SUM(C107:C108)</f>
        <v>5120</v>
      </c>
    </row>
    <row r="107" spans="1:3" x14ac:dyDescent="0.2">
      <c r="A107" s="80">
        <v>45121</v>
      </c>
      <c r="B107" s="57" t="s">
        <v>415</v>
      </c>
      <c r="C107" s="69">
        <v>3000</v>
      </c>
    </row>
    <row r="108" spans="1:3" ht="13.5" thickBot="1" x14ac:dyDescent="0.25">
      <c r="A108" s="59">
        <v>45118</v>
      </c>
      <c r="B108" s="18" t="s">
        <v>288</v>
      </c>
      <c r="C108" s="14">
        <v>2120</v>
      </c>
    </row>
    <row r="109" spans="1:3" ht="13.5" thickBot="1" x14ac:dyDescent="0.25">
      <c r="A109" s="2"/>
      <c r="C109" s="1"/>
    </row>
    <row r="110" spans="1:3" x14ac:dyDescent="0.2">
      <c r="A110" s="10"/>
      <c r="B110" s="112" t="s">
        <v>31</v>
      </c>
      <c r="C110" s="113">
        <f>SUM(C111:C113)</f>
        <v>0</v>
      </c>
    </row>
    <row r="111" spans="1:3" x14ac:dyDescent="0.2">
      <c r="A111" s="70"/>
      <c r="B111" s="57"/>
      <c r="C111" s="69"/>
    </row>
    <row r="112" spans="1:3" x14ac:dyDescent="0.2">
      <c r="A112" s="70"/>
      <c r="B112" s="57"/>
      <c r="C112" s="69"/>
    </row>
    <row r="113" spans="1:3" ht="13.5" thickBot="1" x14ac:dyDescent="0.25">
      <c r="A113" s="19"/>
      <c r="B113" s="13"/>
      <c r="C113" s="14"/>
    </row>
    <row r="114" spans="1:3" ht="13.5" thickBot="1" x14ac:dyDescent="0.25">
      <c r="A114" s="5"/>
      <c r="C114" s="1"/>
    </row>
    <row r="115" spans="1:3" x14ac:dyDescent="0.2">
      <c r="A115" s="10"/>
      <c r="B115" s="112" t="s">
        <v>32</v>
      </c>
      <c r="C115" s="113">
        <f>SUM(C116)</f>
        <v>0</v>
      </c>
    </row>
    <row r="116" spans="1:3" ht="13.5" thickBot="1" x14ac:dyDescent="0.25">
      <c r="A116" s="59"/>
      <c r="B116" s="58"/>
      <c r="C116" s="14"/>
    </row>
    <row r="117" spans="1:3" ht="13.5" thickBot="1" x14ac:dyDescent="0.25">
      <c r="A117" s="2"/>
    </row>
    <row r="118" spans="1:3" x14ac:dyDescent="0.2">
      <c r="A118" s="10"/>
      <c r="B118" s="112" t="s">
        <v>33</v>
      </c>
      <c r="C118" s="113">
        <f>C119</f>
        <v>0</v>
      </c>
    </row>
    <row r="119" spans="1:3" ht="13.5" thickBot="1" x14ac:dyDescent="0.25">
      <c r="A119" s="59"/>
      <c r="B119" s="58"/>
      <c r="C119" s="14"/>
    </row>
    <row r="120" spans="1:3" ht="13.5" thickBot="1" x14ac:dyDescent="0.25">
      <c r="A120" s="2"/>
    </row>
    <row r="121" spans="1:3" x14ac:dyDescent="0.2">
      <c r="A121" s="10"/>
      <c r="B121" s="112" t="s">
        <v>34</v>
      </c>
      <c r="C121" s="113">
        <f>SUM(C122:C126)</f>
        <v>2932.4700000000003</v>
      </c>
    </row>
    <row r="122" spans="1:3" x14ac:dyDescent="0.2">
      <c r="A122" s="84">
        <v>45114</v>
      </c>
      <c r="B122" s="91" t="s">
        <v>292</v>
      </c>
      <c r="C122" s="69">
        <f>851.49</f>
        <v>851.49</v>
      </c>
    </row>
    <row r="123" spans="1:3" x14ac:dyDescent="0.2">
      <c r="A123" s="79">
        <v>45138</v>
      </c>
      <c r="B123" s="57" t="s">
        <v>336</v>
      </c>
      <c r="C123" s="69">
        <f>55*17</f>
        <v>935</v>
      </c>
    </row>
    <row r="124" spans="1:3" x14ac:dyDescent="0.2">
      <c r="A124" s="70">
        <v>45114</v>
      </c>
      <c r="B124" s="57" t="s">
        <v>600</v>
      </c>
      <c r="C124" s="71">
        <v>1145.98</v>
      </c>
    </row>
    <row r="125" spans="1:3" x14ac:dyDescent="0.2">
      <c r="A125" s="79"/>
      <c r="B125" s="57"/>
      <c r="C125" s="69"/>
    </row>
    <row r="126" spans="1:3" ht="13.5" thickBot="1" x14ac:dyDescent="0.25">
      <c r="A126" s="59"/>
      <c r="B126" s="13"/>
      <c r="C126" s="14"/>
    </row>
    <row r="127" spans="1:3" ht="13.5" thickBot="1" x14ac:dyDescent="0.25">
      <c r="A127" s="2"/>
      <c r="C127" s="1"/>
    </row>
    <row r="128" spans="1:3" x14ac:dyDescent="0.2">
      <c r="A128" s="10"/>
      <c r="B128" s="112" t="s">
        <v>35</v>
      </c>
      <c r="C128" s="113">
        <f>SUM(C129:C131)</f>
        <v>2000</v>
      </c>
    </row>
    <row r="129" spans="1:3" x14ac:dyDescent="0.2">
      <c r="A129" s="70">
        <v>45121</v>
      </c>
      <c r="B129" s="57" t="s">
        <v>595</v>
      </c>
      <c r="C129" s="71">
        <v>2000</v>
      </c>
    </row>
    <row r="130" spans="1:3" x14ac:dyDescent="0.2">
      <c r="A130" s="70"/>
      <c r="B130" s="57"/>
      <c r="C130" s="71"/>
    </row>
    <row r="131" spans="1:3" ht="13.5" thickBot="1" x14ac:dyDescent="0.25">
      <c r="A131" s="59"/>
      <c r="B131" s="13"/>
      <c r="C131" s="14"/>
    </row>
    <row r="132" spans="1:3" ht="13.5" thickBot="1" x14ac:dyDescent="0.25">
      <c r="A132" s="2"/>
      <c r="C132" s="1"/>
    </row>
    <row r="133" spans="1:3" x14ac:dyDescent="0.2">
      <c r="A133" s="10"/>
      <c r="B133" s="112" t="s">
        <v>37</v>
      </c>
      <c r="C133" s="113">
        <f>SUM(C134:C141)</f>
        <v>13581.619999999999</v>
      </c>
    </row>
    <row r="134" spans="1:3" x14ac:dyDescent="0.2">
      <c r="A134" s="70">
        <v>45114</v>
      </c>
      <c r="B134" s="57" t="s">
        <v>291</v>
      </c>
      <c r="C134" s="71">
        <v>1877</v>
      </c>
    </row>
    <row r="135" spans="1:3" x14ac:dyDescent="0.2">
      <c r="A135" s="70">
        <v>45112</v>
      </c>
      <c r="B135" s="57" t="s">
        <v>299</v>
      </c>
      <c r="C135" s="71">
        <f>2524+2524</f>
        <v>5048</v>
      </c>
    </row>
    <row r="136" spans="1:3" x14ac:dyDescent="0.2">
      <c r="A136" s="70">
        <v>45138</v>
      </c>
      <c r="B136" s="57" t="s">
        <v>337</v>
      </c>
      <c r="C136" s="71">
        <v>217.92</v>
      </c>
    </row>
    <row r="137" spans="1:3" x14ac:dyDescent="0.2">
      <c r="A137" s="70">
        <v>45121</v>
      </c>
      <c r="B137" s="57" t="s">
        <v>406</v>
      </c>
      <c r="C137" s="71">
        <f>2039+611.7+532+532</f>
        <v>3714.7</v>
      </c>
    </row>
    <row r="138" spans="1:3" x14ac:dyDescent="0.2">
      <c r="A138" s="70">
        <v>45121</v>
      </c>
      <c r="B138" s="57" t="s">
        <v>407</v>
      </c>
      <c r="C138" s="71">
        <f>908+908+908</f>
        <v>2724</v>
      </c>
    </row>
    <row r="139" spans="1:3" x14ac:dyDescent="0.2">
      <c r="A139" s="70"/>
      <c r="B139" s="57"/>
      <c r="C139" s="71"/>
    </row>
    <row r="140" spans="1:3" x14ac:dyDescent="0.2">
      <c r="A140" s="70"/>
      <c r="B140" s="57"/>
      <c r="C140" s="71"/>
    </row>
    <row r="141" spans="1:3" ht="13.5" thickBot="1" x14ac:dyDescent="0.25">
      <c r="A141" s="12"/>
      <c r="B141" s="13"/>
      <c r="C141" s="14"/>
    </row>
    <row r="142" spans="1:3" ht="13.5" thickBot="1" x14ac:dyDescent="0.25">
      <c r="A142" s="21"/>
      <c r="B142" s="11"/>
      <c r="C142" s="29"/>
    </row>
    <row r="143" spans="1:3" x14ac:dyDescent="0.2">
      <c r="A143" s="10"/>
      <c r="B143" s="112" t="s">
        <v>54</v>
      </c>
      <c r="C143" s="113">
        <f>SUM(C144:C145)</f>
        <v>1451.42</v>
      </c>
    </row>
    <row r="144" spans="1:3" x14ac:dyDescent="0.2">
      <c r="A144" s="70">
        <v>45121</v>
      </c>
      <c r="B144" s="57" t="s">
        <v>414</v>
      </c>
      <c r="C144" s="69">
        <v>1451.42</v>
      </c>
    </row>
    <row r="145" spans="1:3" ht="13.5" thickBot="1" x14ac:dyDescent="0.25">
      <c r="A145" s="59"/>
      <c r="B145" s="58"/>
      <c r="C145" s="14"/>
    </row>
    <row r="146" spans="1:3" ht="13.5" thickBot="1" x14ac:dyDescent="0.25">
      <c r="A146" s="26"/>
      <c r="B146" s="57"/>
      <c r="C146" s="29"/>
    </row>
    <row r="147" spans="1:3" x14ac:dyDescent="0.2">
      <c r="A147" s="23"/>
      <c r="B147" s="112" t="s">
        <v>38</v>
      </c>
      <c r="C147" s="113">
        <f>SUM(C148:C173)</f>
        <v>74296.02</v>
      </c>
    </row>
    <row r="148" spans="1:3" x14ac:dyDescent="0.2">
      <c r="A148" s="73" t="s">
        <v>371</v>
      </c>
      <c r="B148" s="57" t="s">
        <v>372</v>
      </c>
      <c r="C148" s="71">
        <v>8168</v>
      </c>
    </row>
    <row r="149" spans="1:3" x14ac:dyDescent="0.2">
      <c r="A149" s="73" t="s">
        <v>371</v>
      </c>
      <c r="B149" s="57" t="s">
        <v>373</v>
      </c>
      <c r="C149" s="71">
        <v>1037.01</v>
      </c>
    </row>
    <row r="150" spans="1:3" x14ac:dyDescent="0.2">
      <c r="A150" s="73" t="s">
        <v>371</v>
      </c>
      <c r="B150" s="57" t="s">
        <v>374</v>
      </c>
      <c r="C150" s="71">
        <v>8009</v>
      </c>
    </row>
    <row r="151" spans="1:3" x14ac:dyDescent="0.2">
      <c r="A151" s="73" t="s">
        <v>371</v>
      </c>
      <c r="B151" s="57" t="s">
        <v>375</v>
      </c>
      <c r="C151" s="71">
        <v>1105</v>
      </c>
    </row>
    <row r="152" spans="1:3" x14ac:dyDescent="0.2">
      <c r="A152" s="73" t="s">
        <v>371</v>
      </c>
      <c r="B152" s="57" t="s">
        <v>376</v>
      </c>
      <c r="C152" s="71">
        <v>8009</v>
      </c>
    </row>
    <row r="153" spans="1:3" x14ac:dyDescent="0.2">
      <c r="A153" s="73" t="s">
        <v>371</v>
      </c>
      <c r="B153" s="57" t="s">
        <v>377</v>
      </c>
      <c r="C153" s="71">
        <v>1285</v>
      </c>
    </row>
    <row r="154" spans="1:3" x14ac:dyDescent="0.2">
      <c r="A154" s="73" t="s">
        <v>371</v>
      </c>
      <c r="B154" s="57" t="s">
        <v>378</v>
      </c>
      <c r="C154" s="71">
        <v>7776</v>
      </c>
    </row>
    <row r="155" spans="1:3" x14ac:dyDescent="0.2">
      <c r="A155" s="73" t="s">
        <v>371</v>
      </c>
      <c r="B155" s="57" t="s">
        <v>379</v>
      </c>
      <c r="C155" s="71">
        <v>912.01</v>
      </c>
    </row>
    <row r="156" spans="1:3" x14ac:dyDescent="0.2">
      <c r="A156" s="73" t="s">
        <v>371</v>
      </c>
      <c r="B156" s="57" t="s">
        <v>380</v>
      </c>
      <c r="C156" s="71">
        <v>7776</v>
      </c>
    </row>
    <row r="157" spans="1:3" x14ac:dyDescent="0.2">
      <c r="A157" s="73" t="s">
        <v>371</v>
      </c>
      <c r="B157" s="57" t="s">
        <v>381</v>
      </c>
      <c r="C157" s="71">
        <v>1174</v>
      </c>
    </row>
    <row r="158" spans="1:3" x14ac:dyDescent="0.2">
      <c r="A158" s="73" t="s">
        <v>371</v>
      </c>
      <c r="B158" s="57" t="s">
        <v>382</v>
      </c>
      <c r="C158" s="71">
        <v>7776</v>
      </c>
    </row>
    <row r="159" spans="1:3" x14ac:dyDescent="0.2">
      <c r="A159" s="73" t="s">
        <v>371</v>
      </c>
      <c r="B159" s="57" t="s">
        <v>383</v>
      </c>
      <c r="C159" s="71">
        <v>1105</v>
      </c>
    </row>
    <row r="160" spans="1:3" x14ac:dyDescent="0.2">
      <c r="A160" s="73" t="s">
        <v>371</v>
      </c>
      <c r="B160" s="57" t="s">
        <v>384</v>
      </c>
      <c r="C160" s="71">
        <v>8379</v>
      </c>
    </row>
    <row r="161" spans="1:3" x14ac:dyDescent="0.2">
      <c r="A161" s="73" t="s">
        <v>371</v>
      </c>
      <c r="B161" s="57" t="s">
        <v>385</v>
      </c>
      <c r="C161" s="71">
        <v>876</v>
      </c>
    </row>
    <row r="162" spans="1:3" x14ac:dyDescent="0.2">
      <c r="A162" s="73" t="s">
        <v>386</v>
      </c>
      <c r="B162" s="57" t="s">
        <v>387</v>
      </c>
      <c r="C162" s="71">
        <v>9387</v>
      </c>
    </row>
    <row r="163" spans="1:3" x14ac:dyDescent="0.2">
      <c r="A163" s="73" t="s">
        <v>386</v>
      </c>
      <c r="B163" s="57" t="s">
        <v>388</v>
      </c>
      <c r="C163" s="71">
        <v>1522</v>
      </c>
    </row>
    <row r="164" spans="1:3" x14ac:dyDescent="0.2">
      <c r="A164" s="73"/>
      <c r="B164" s="57"/>
      <c r="C164" s="71"/>
    </row>
    <row r="165" spans="1:3" x14ac:dyDescent="0.2">
      <c r="A165" s="73"/>
      <c r="B165" s="57"/>
      <c r="C165" s="71"/>
    </row>
    <row r="166" spans="1:3" x14ac:dyDescent="0.2">
      <c r="A166" s="73"/>
      <c r="B166" s="57"/>
      <c r="C166" s="71"/>
    </row>
    <row r="167" spans="1:3" x14ac:dyDescent="0.2">
      <c r="A167" s="73"/>
      <c r="B167" s="57"/>
      <c r="C167" s="71"/>
    </row>
    <row r="168" spans="1:3" x14ac:dyDescent="0.2">
      <c r="A168" s="73"/>
      <c r="B168" s="57"/>
      <c r="C168" s="71"/>
    </row>
    <row r="169" spans="1:3" x14ac:dyDescent="0.2">
      <c r="A169" s="73"/>
      <c r="B169" s="57"/>
      <c r="C169" s="71"/>
    </row>
    <row r="170" spans="1:3" x14ac:dyDescent="0.2">
      <c r="A170" s="73"/>
      <c r="B170" s="57"/>
      <c r="C170" s="71"/>
    </row>
    <row r="171" spans="1:3" x14ac:dyDescent="0.2">
      <c r="A171" s="73"/>
      <c r="B171" s="57"/>
      <c r="C171" s="71"/>
    </row>
    <row r="172" spans="1:3" x14ac:dyDescent="0.2">
      <c r="A172" s="73"/>
      <c r="B172" s="57"/>
      <c r="C172" s="71"/>
    </row>
    <row r="173" spans="1:3" ht="13.5" thickBot="1" x14ac:dyDescent="0.25">
      <c r="A173" s="24"/>
      <c r="B173" s="58"/>
      <c r="C173" s="14"/>
    </row>
    <row r="174" spans="1:3" ht="13.5" thickBot="1" x14ac:dyDescent="0.25">
      <c r="A174" s="26"/>
      <c r="B174" s="57"/>
      <c r="C174" s="29"/>
    </row>
    <row r="175" spans="1:3" x14ac:dyDescent="0.2">
      <c r="A175" s="10"/>
      <c r="B175" s="112" t="s">
        <v>27</v>
      </c>
      <c r="C175" s="113">
        <f>SUM(C176:C179)</f>
        <v>11696.25</v>
      </c>
    </row>
    <row r="176" spans="1:3" x14ac:dyDescent="0.2">
      <c r="A176" s="70">
        <v>45114</v>
      </c>
      <c r="B176" s="57" t="s">
        <v>290</v>
      </c>
      <c r="C176" s="71">
        <f>1160+1740+1740</f>
        <v>4640</v>
      </c>
    </row>
    <row r="177" spans="1:3" x14ac:dyDescent="0.2">
      <c r="A177" s="70">
        <v>45112</v>
      </c>
      <c r="B177" s="57" t="s">
        <v>300</v>
      </c>
      <c r="C177" s="71">
        <f>2126.25</f>
        <v>2126.25</v>
      </c>
    </row>
    <row r="178" spans="1:3" x14ac:dyDescent="0.2">
      <c r="A178" s="70">
        <v>45121</v>
      </c>
      <c r="B178" s="57" t="s">
        <v>410</v>
      </c>
      <c r="C178" s="71">
        <v>4930</v>
      </c>
    </row>
    <row r="179" spans="1:3" ht="13.5" thickBot="1" x14ac:dyDescent="0.25">
      <c r="A179" s="59"/>
      <c r="B179" s="13"/>
      <c r="C179" s="14"/>
    </row>
    <row r="180" spans="1:3" x14ac:dyDescent="0.2">
      <c r="A180" s="2"/>
    </row>
    <row r="181" spans="1:3" ht="13.5" thickBot="1" x14ac:dyDescent="0.25">
      <c r="A181" s="28"/>
      <c r="B181" s="8"/>
      <c r="C181" s="8"/>
    </row>
    <row r="182" spans="1:3" ht="13.5" thickBot="1" x14ac:dyDescent="0.25">
      <c r="A182" s="117"/>
      <c r="B182" s="115" t="s">
        <v>0</v>
      </c>
      <c r="C182" s="116">
        <f>SUM(C183:C183)</f>
        <v>0</v>
      </c>
    </row>
    <row r="183" spans="1:3" ht="13.5" thickBot="1" x14ac:dyDescent="0.25">
      <c r="A183" s="27"/>
      <c r="B183" s="63"/>
      <c r="C183" s="64"/>
    </row>
    <row r="185" spans="1:3" x14ac:dyDescent="0.2">
      <c r="A185" s="25"/>
    </row>
    <row r="186" spans="1:3" x14ac:dyDescent="0.2">
      <c r="A186" s="25"/>
    </row>
    <row r="187" spans="1:3" x14ac:dyDescent="0.2">
      <c r="A187" s="25"/>
    </row>
    <row r="188" spans="1:3" x14ac:dyDescent="0.2">
      <c r="A188" s="25"/>
    </row>
  </sheetData>
  <mergeCells count="1">
    <mergeCell ref="A2:B2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D251"/>
  <sheetViews>
    <sheetView topLeftCell="A117" workbookViewId="0">
      <selection activeCell="C153" sqref="C153"/>
    </sheetView>
  </sheetViews>
  <sheetFormatPr defaultRowHeight="12.75" x14ac:dyDescent="0.2"/>
  <cols>
    <col min="1" max="1" width="9.42578125" style="22" bestFit="1" customWidth="1"/>
    <col min="2" max="2" width="84.28515625" customWidth="1"/>
    <col min="3" max="3" width="18.42578125" customWidth="1"/>
  </cols>
  <sheetData>
    <row r="1" spans="1:3" ht="13.5" thickBot="1" x14ac:dyDescent="0.25">
      <c r="A1"/>
    </row>
    <row r="2" spans="1:3" ht="13.5" thickBot="1" x14ac:dyDescent="0.25">
      <c r="A2" s="147" t="s">
        <v>70</v>
      </c>
      <c r="B2" s="148"/>
      <c r="C2" s="20">
        <f>C4+C97</f>
        <v>712948.8</v>
      </c>
    </row>
    <row r="3" spans="1:3" ht="13.5" thickBot="1" x14ac:dyDescent="0.25">
      <c r="A3" s="16" t="s">
        <v>20</v>
      </c>
      <c r="B3" s="15" t="s">
        <v>21</v>
      </c>
      <c r="C3" s="17" t="s">
        <v>22</v>
      </c>
    </row>
    <row r="4" spans="1:3" ht="13.5" thickBot="1" x14ac:dyDescent="0.25">
      <c r="A4" s="114"/>
      <c r="B4" s="115" t="s">
        <v>23</v>
      </c>
      <c r="C4" s="116">
        <f>C5+C9+C15+C20+C26+C36+C44+C53+C64+C71+C80+C85+C89</f>
        <v>95058.69</v>
      </c>
    </row>
    <row r="5" spans="1:3" x14ac:dyDescent="0.2">
      <c r="A5" s="10"/>
      <c r="B5" s="112" t="s">
        <v>36</v>
      </c>
      <c r="C5" s="113"/>
    </row>
    <row r="6" spans="1:3" x14ac:dyDescent="0.2">
      <c r="A6" s="70"/>
      <c r="B6" s="57"/>
      <c r="C6" s="69"/>
    </row>
    <row r="7" spans="1:3" ht="13.5" thickBot="1" x14ac:dyDescent="0.25">
      <c r="A7" s="59"/>
      <c r="B7" s="13"/>
      <c r="C7" s="14"/>
    </row>
    <row r="8" spans="1:3" ht="13.5" thickBot="1" x14ac:dyDescent="0.25">
      <c r="A8" s="21"/>
      <c r="B8" s="11"/>
      <c r="C8" s="29"/>
    </row>
    <row r="9" spans="1:3" x14ac:dyDescent="0.2">
      <c r="A9" s="10"/>
      <c r="B9" s="112" t="s">
        <v>47</v>
      </c>
      <c r="C9" s="113">
        <f>SUM(C10:C13)</f>
        <v>0</v>
      </c>
    </row>
    <row r="10" spans="1:3" x14ac:dyDescent="0.2">
      <c r="A10" s="84"/>
      <c r="B10" s="57"/>
      <c r="C10" s="69"/>
    </row>
    <row r="11" spans="1:3" x14ac:dyDescent="0.2">
      <c r="A11" s="84"/>
      <c r="B11" s="57"/>
      <c r="C11" s="69"/>
    </row>
    <row r="12" spans="1:3" x14ac:dyDescent="0.2">
      <c r="A12" s="70"/>
      <c r="B12" s="57"/>
      <c r="C12" s="69"/>
    </row>
    <row r="13" spans="1:3" ht="13.5" thickBot="1" x14ac:dyDescent="0.25">
      <c r="A13" s="12"/>
      <c r="B13" s="13"/>
      <c r="C13" s="14"/>
    </row>
    <row r="14" spans="1:3" ht="13.5" thickBot="1" x14ac:dyDescent="0.25">
      <c r="A14" s="21"/>
      <c r="B14" s="11"/>
      <c r="C14" s="29"/>
    </row>
    <row r="15" spans="1:3" x14ac:dyDescent="0.2">
      <c r="A15" s="10"/>
      <c r="B15" s="112" t="s">
        <v>48</v>
      </c>
      <c r="C15" s="113">
        <f>SUM(C16:C18)</f>
        <v>750.1</v>
      </c>
    </row>
    <row r="16" spans="1:3" x14ac:dyDescent="0.2">
      <c r="A16" s="70" t="s">
        <v>396</v>
      </c>
      <c r="B16" s="57" t="s">
        <v>400</v>
      </c>
      <c r="C16" s="71">
        <f>750.1</f>
        <v>750.1</v>
      </c>
    </row>
    <row r="17" spans="1:3" x14ac:dyDescent="0.2">
      <c r="A17" s="82"/>
      <c r="B17" s="57"/>
      <c r="C17" s="71"/>
    </row>
    <row r="18" spans="1:3" ht="13.5" thickBot="1" x14ac:dyDescent="0.25">
      <c r="A18" s="88"/>
      <c r="B18" s="18"/>
      <c r="C18" s="14"/>
    </row>
    <row r="19" spans="1:3" ht="13.5" thickBot="1" x14ac:dyDescent="0.25">
      <c r="A19" s="2"/>
      <c r="C19" s="4"/>
    </row>
    <row r="20" spans="1:3" x14ac:dyDescent="0.2">
      <c r="A20" s="10"/>
      <c r="B20" s="112" t="s">
        <v>24</v>
      </c>
      <c r="C20" s="113">
        <f>SUM(C21:C24)</f>
        <v>0</v>
      </c>
    </row>
    <row r="21" spans="1:3" x14ac:dyDescent="0.2">
      <c r="A21" s="94"/>
      <c r="B21" s="57"/>
      <c r="C21" s="71"/>
    </row>
    <row r="22" spans="1:3" x14ac:dyDescent="0.2">
      <c r="A22" s="94"/>
      <c r="B22" s="57"/>
      <c r="C22" s="71"/>
    </row>
    <row r="23" spans="1:3" x14ac:dyDescent="0.2">
      <c r="A23" s="94"/>
      <c r="B23" s="57"/>
      <c r="C23" s="71"/>
    </row>
    <row r="24" spans="1:3" ht="13.5" thickBot="1" x14ac:dyDescent="0.25">
      <c r="A24" s="59"/>
      <c r="B24" s="13"/>
      <c r="C24" s="14"/>
    </row>
    <row r="25" spans="1:3" ht="13.5" thickBot="1" x14ac:dyDescent="0.25">
      <c r="A25" s="2"/>
      <c r="C25" s="4"/>
    </row>
    <row r="26" spans="1:3" x14ac:dyDescent="0.2">
      <c r="A26" s="10"/>
      <c r="B26" s="112" t="s">
        <v>25</v>
      </c>
      <c r="C26" s="113">
        <f>SUM(C27:C34)</f>
        <v>59039.33</v>
      </c>
    </row>
    <row r="27" spans="1:3" x14ac:dyDescent="0.2">
      <c r="A27" s="84" t="s">
        <v>339</v>
      </c>
      <c r="B27" s="57" t="s">
        <v>405</v>
      </c>
      <c r="C27" s="69">
        <v>59039.33</v>
      </c>
    </row>
    <row r="28" spans="1:3" x14ac:dyDescent="0.2">
      <c r="A28" s="84"/>
      <c r="B28" s="57"/>
      <c r="C28" s="69"/>
    </row>
    <row r="29" spans="1:3" x14ac:dyDescent="0.2">
      <c r="A29" s="84"/>
      <c r="B29" s="57"/>
      <c r="C29" s="69"/>
    </row>
    <row r="30" spans="1:3" x14ac:dyDescent="0.2">
      <c r="A30" s="84"/>
      <c r="B30" s="57"/>
      <c r="C30" s="69"/>
    </row>
    <row r="31" spans="1:3" x14ac:dyDescent="0.2">
      <c r="A31" s="84"/>
      <c r="B31" s="57"/>
      <c r="C31" s="69"/>
    </row>
    <row r="32" spans="1:3" x14ac:dyDescent="0.2">
      <c r="A32" s="84"/>
      <c r="B32" s="57"/>
      <c r="C32" s="69"/>
    </row>
    <row r="33" spans="1:3" x14ac:dyDescent="0.2">
      <c r="A33" s="84"/>
      <c r="B33" s="57"/>
      <c r="C33" s="69"/>
    </row>
    <row r="34" spans="1:3" ht="13.5" thickBot="1" x14ac:dyDescent="0.25">
      <c r="A34" s="12"/>
      <c r="B34" s="13"/>
      <c r="C34" s="14"/>
    </row>
    <row r="35" spans="1:3" ht="13.5" thickBot="1" x14ac:dyDescent="0.25">
      <c r="A35" s="2"/>
      <c r="C35" s="4"/>
    </row>
    <row r="36" spans="1:3" x14ac:dyDescent="0.2">
      <c r="A36" s="10"/>
      <c r="B36" s="112" t="s">
        <v>19</v>
      </c>
      <c r="C36" s="113">
        <f>SUM(C37:C42)</f>
        <v>6134.4000000000005</v>
      </c>
    </row>
    <row r="37" spans="1:3" x14ac:dyDescent="0.2">
      <c r="A37" s="84" t="s">
        <v>396</v>
      </c>
      <c r="B37" s="57" t="s">
        <v>401</v>
      </c>
      <c r="C37" s="69">
        <f>4261.64+1127.5+367.26+208+170</f>
        <v>6134.4000000000005</v>
      </c>
    </row>
    <row r="38" spans="1:3" x14ac:dyDescent="0.2">
      <c r="A38" s="70"/>
      <c r="B38" s="57"/>
      <c r="C38" s="69"/>
    </row>
    <row r="39" spans="1:3" x14ac:dyDescent="0.2">
      <c r="A39" s="70"/>
      <c r="B39" s="57"/>
      <c r="C39" s="69"/>
    </row>
    <row r="40" spans="1:3" x14ac:dyDescent="0.2">
      <c r="A40" s="70"/>
      <c r="B40" s="57"/>
      <c r="C40" s="69"/>
    </row>
    <row r="41" spans="1:3" x14ac:dyDescent="0.2">
      <c r="A41" s="70"/>
      <c r="B41" s="57"/>
      <c r="C41" s="69"/>
    </row>
    <row r="42" spans="1:3" ht="13.5" thickBot="1" x14ac:dyDescent="0.25">
      <c r="A42" s="59"/>
      <c r="B42" s="13"/>
      <c r="C42" s="14"/>
    </row>
    <row r="43" spans="1:3" ht="13.5" thickBot="1" x14ac:dyDescent="0.25">
      <c r="A43" s="2"/>
      <c r="C43" s="4"/>
    </row>
    <row r="44" spans="1:3" x14ac:dyDescent="0.2">
      <c r="A44" s="10"/>
      <c r="B44" s="112" t="s">
        <v>58</v>
      </c>
      <c r="C44" s="113">
        <f>SUM(C45:C51)</f>
        <v>11226.41</v>
      </c>
    </row>
    <row r="45" spans="1:3" x14ac:dyDescent="0.2">
      <c r="A45" s="84" t="s">
        <v>393</v>
      </c>
      <c r="B45" s="57" t="s">
        <v>394</v>
      </c>
      <c r="C45" s="69">
        <v>11226.41</v>
      </c>
    </row>
    <row r="46" spans="1:3" x14ac:dyDescent="0.2">
      <c r="A46" s="84"/>
      <c r="B46" s="57"/>
      <c r="C46" s="69"/>
    </row>
    <row r="47" spans="1:3" x14ac:dyDescent="0.2">
      <c r="A47" s="84"/>
      <c r="B47" s="57"/>
      <c r="C47" s="69"/>
    </row>
    <row r="48" spans="1:3" x14ac:dyDescent="0.2">
      <c r="A48" s="84"/>
      <c r="B48" s="57"/>
      <c r="C48" s="69"/>
    </row>
    <row r="49" spans="1:3" x14ac:dyDescent="0.2">
      <c r="A49" s="84"/>
      <c r="B49" s="57"/>
      <c r="C49" s="69"/>
    </row>
    <row r="50" spans="1:3" x14ac:dyDescent="0.2">
      <c r="A50" s="84"/>
      <c r="B50" s="57"/>
      <c r="C50" s="69"/>
    </row>
    <row r="51" spans="1:3" ht="13.5" thickBot="1" x14ac:dyDescent="0.25">
      <c r="A51" s="59"/>
      <c r="B51" s="58"/>
      <c r="C51" s="14"/>
    </row>
    <row r="52" spans="1:3" ht="13.5" thickBot="1" x14ac:dyDescent="0.25">
      <c r="A52" s="2"/>
    </row>
    <row r="53" spans="1:3" x14ac:dyDescent="0.2">
      <c r="A53" s="10"/>
      <c r="B53" s="112" t="s">
        <v>55</v>
      </c>
      <c r="C53" s="113">
        <f>SUM(C54:C62)</f>
        <v>2950</v>
      </c>
    </row>
    <row r="54" spans="1:3" x14ac:dyDescent="0.2">
      <c r="A54" s="84" t="s">
        <v>396</v>
      </c>
      <c r="B54" s="57" t="s">
        <v>397</v>
      </c>
      <c r="C54" s="71">
        <f>2950</f>
        <v>2950</v>
      </c>
    </row>
    <row r="55" spans="1:3" x14ac:dyDescent="0.2">
      <c r="A55" s="84"/>
      <c r="B55" s="57"/>
      <c r="C55" s="69"/>
    </row>
    <row r="56" spans="1:3" x14ac:dyDescent="0.2">
      <c r="A56" s="84"/>
      <c r="B56" s="57"/>
      <c r="C56" s="71"/>
    </row>
    <row r="57" spans="1:3" x14ac:dyDescent="0.2">
      <c r="A57" s="70"/>
      <c r="B57" s="57"/>
      <c r="C57" s="71"/>
    </row>
    <row r="58" spans="1:3" x14ac:dyDescent="0.2">
      <c r="A58" s="70"/>
      <c r="B58" s="57"/>
      <c r="C58" s="71"/>
    </row>
    <row r="59" spans="1:3" x14ac:dyDescent="0.2">
      <c r="A59" s="70"/>
      <c r="B59" s="57"/>
      <c r="C59" s="71"/>
    </row>
    <row r="60" spans="1:3" x14ac:dyDescent="0.2">
      <c r="A60" s="70"/>
      <c r="B60" s="57"/>
      <c r="C60" s="71"/>
    </row>
    <row r="61" spans="1:3" x14ac:dyDescent="0.2">
      <c r="A61" s="70"/>
      <c r="B61" s="57"/>
      <c r="C61" s="71"/>
    </row>
    <row r="62" spans="1:3" ht="13.5" thickBot="1" x14ac:dyDescent="0.25">
      <c r="A62" s="12"/>
      <c r="B62" s="58"/>
      <c r="C62" s="14"/>
    </row>
    <row r="63" spans="1:3" ht="13.5" thickBot="1" x14ac:dyDescent="0.25">
      <c r="A63" s="21"/>
      <c r="B63" s="57"/>
      <c r="C63" s="29"/>
    </row>
    <row r="64" spans="1:3" x14ac:dyDescent="0.2">
      <c r="A64" s="10"/>
      <c r="B64" s="112" t="s">
        <v>56</v>
      </c>
      <c r="C64" s="113">
        <f>SUM(C65:C69)</f>
        <v>1645</v>
      </c>
    </row>
    <row r="65" spans="1:3" x14ac:dyDescent="0.2">
      <c r="A65" s="94" t="s">
        <v>396</v>
      </c>
      <c r="B65" s="57" t="s">
        <v>402</v>
      </c>
      <c r="C65" s="69">
        <f>1500+145</f>
        <v>1645</v>
      </c>
    </row>
    <row r="66" spans="1:3" x14ac:dyDescent="0.2">
      <c r="A66" s="94"/>
      <c r="B66" s="57"/>
      <c r="C66" s="69"/>
    </row>
    <row r="67" spans="1:3" x14ac:dyDescent="0.2">
      <c r="A67" s="94"/>
      <c r="B67" s="57"/>
      <c r="C67" s="69"/>
    </row>
    <row r="68" spans="1:3" x14ac:dyDescent="0.2">
      <c r="A68" s="94"/>
      <c r="B68" s="57"/>
      <c r="C68" s="69"/>
    </row>
    <row r="69" spans="1:3" ht="13.5" thickBot="1" x14ac:dyDescent="0.25">
      <c r="A69" s="12"/>
      <c r="B69" s="58"/>
      <c r="C69" s="14"/>
    </row>
    <row r="70" spans="1:3" ht="13.5" thickBot="1" x14ac:dyDescent="0.25">
      <c r="A70" s="21"/>
      <c r="B70" s="57"/>
      <c r="C70" s="29"/>
    </row>
    <row r="71" spans="1:3" x14ac:dyDescent="0.2">
      <c r="A71" s="10"/>
      <c r="B71" s="112" t="s">
        <v>41</v>
      </c>
      <c r="C71" s="113">
        <f>SUM(C72:C78)</f>
        <v>0</v>
      </c>
    </row>
    <row r="72" spans="1:3" x14ac:dyDescent="0.2">
      <c r="A72" s="70"/>
      <c r="B72" s="57"/>
      <c r="C72" s="71"/>
    </row>
    <row r="73" spans="1:3" x14ac:dyDescent="0.2">
      <c r="A73" s="94"/>
      <c r="B73" s="57"/>
      <c r="C73" s="71"/>
    </row>
    <row r="74" spans="1:3" x14ac:dyDescent="0.2">
      <c r="A74" s="94"/>
      <c r="B74" s="57"/>
      <c r="C74" s="71"/>
    </row>
    <row r="75" spans="1:3" x14ac:dyDescent="0.2">
      <c r="A75" s="94"/>
      <c r="B75" s="57"/>
      <c r="C75" s="71"/>
    </row>
    <row r="76" spans="1:3" x14ac:dyDescent="0.2">
      <c r="A76" s="94"/>
      <c r="B76" s="57"/>
      <c r="C76" s="71"/>
    </row>
    <row r="77" spans="1:3" x14ac:dyDescent="0.2">
      <c r="A77" s="94"/>
      <c r="B77" s="57"/>
      <c r="C77" s="71"/>
    </row>
    <row r="78" spans="1:3" ht="13.5" thickBot="1" x14ac:dyDescent="0.25">
      <c r="A78" s="12"/>
      <c r="B78" s="58"/>
      <c r="C78" s="14"/>
    </row>
    <row r="79" spans="1:3" ht="13.5" thickBot="1" x14ac:dyDescent="0.25">
      <c r="A79" s="2"/>
    </row>
    <row r="80" spans="1:3" x14ac:dyDescent="0.2">
      <c r="A80" s="10"/>
      <c r="B80" s="112" t="s">
        <v>28</v>
      </c>
      <c r="C80" s="113">
        <f>SUM(C81:C83)</f>
        <v>12287.92</v>
      </c>
    </row>
    <row r="81" spans="1:3" x14ac:dyDescent="0.2">
      <c r="A81" s="70" t="s">
        <v>339</v>
      </c>
      <c r="B81" s="57" t="s">
        <v>395</v>
      </c>
      <c r="C81" s="71">
        <v>12287.92</v>
      </c>
    </row>
    <row r="82" spans="1:3" x14ac:dyDescent="0.2">
      <c r="A82" s="70"/>
      <c r="B82" s="57"/>
      <c r="C82" s="71"/>
    </row>
    <row r="83" spans="1:3" ht="13.5" thickBot="1" x14ac:dyDescent="0.25">
      <c r="A83" s="12"/>
      <c r="B83" s="13"/>
      <c r="C83" s="14"/>
    </row>
    <row r="84" spans="1:3" ht="13.5" thickBot="1" x14ac:dyDescent="0.25">
      <c r="A84" s="2"/>
    </row>
    <row r="85" spans="1:3" x14ac:dyDescent="0.2">
      <c r="A85" s="10"/>
      <c r="B85" s="112" t="s">
        <v>57</v>
      </c>
      <c r="C85" s="113">
        <f>SUM(C86:C87)</f>
        <v>0</v>
      </c>
    </row>
    <row r="86" spans="1:3" x14ac:dyDescent="0.2">
      <c r="A86" s="82"/>
      <c r="B86" s="57"/>
      <c r="C86" s="71"/>
    </row>
    <row r="87" spans="1:3" ht="13.5" thickBot="1" x14ac:dyDescent="0.25">
      <c r="A87" s="12"/>
      <c r="B87" s="58"/>
      <c r="C87" s="14"/>
    </row>
    <row r="88" spans="1:3" ht="13.5" thickBot="1" x14ac:dyDescent="0.25">
      <c r="A88" s="2"/>
    </row>
    <row r="89" spans="1:3" x14ac:dyDescent="0.2">
      <c r="A89" s="10"/>
      <c r="B89" s="112" t="s">
        <v>27</v>
      </c>
      <c r="C89" s="113">
        <f>SUM(C90:C94)</f>
        <v>1025.53</v>
      </c>
    </row>
    <row r="90" spans="1:3" x14ac:dyDescent="0.2">
      <c r="A90" s="84" t="s">
        <v>396</v>
      </c>
      <c r="B90" s="85" t="s">
        <v>403</v>
      </c>
      <c r="C90" s="86">
        <f>209.1+490.14+326.29</f>
        <v>1025.53</v>
      </c>
    </row>
    <row r="91" spans="1:3" x14ac:dyDescent="0.2">
      <c r="A91" s="84"/>
      <c r="B91" s="85"/>
      <c r="C91" s="86"/>
    </row>
    <row r="92" spans="1:3" x14ac:dyDescent="0.2">
      <c r="A92" s="84"/>
      <c r="B92" s="85"/>
      <c r="C92" s="86"/>
    </row>
    <row r="93" spans="1:3" x14ac:dyDescent="0.2">
      <c r="A93" s="84"/>
      <c r="B93" s="85"/>
      <c r="C93" s="86"/>
    </row>
    <row r="94" spans="1:3" ht="13.5" thickBot="1" x14ac:dyDescent="0.25">
      <c r="A94" s="12"/>
      <c r="B94" s="13"/>
      <c r="C94" s="14"/>
    </row>
    <row r="95" spans="1:3" x14ac:dyDescent="0.2">
      <c r="A95" s="2"/>
      <c r="B95" s="7"/>
    </row>
    <row r="96" spans="1:3" ht="13.5" thickBot="1" x14ac:dyDescent="0.25">
      <c r="A96" s="9"/>
      <c r="B96" s="8"/>
      <c r="C96" s="8"/>
    </row>
    <row r="97" spans="1:3" ht="13.5" thickBot="1" x14ac:dyDescent="0.25">
      <c r="A97" s="114"/>
      <c r="B97" s="115" t="s">
        <v>29</v>
      </c>
      <c r="C97" s="116">
        <f>C98+C105+C111+C114+C118+C121+C124+C127+C132+C136+C140+C143+C147+C155+C161+C169+C172+C200</f>
        <v>617890.11</v>
      </c>
    </row>
    <row r="98" spans="1:3" x14ac:dyDescent="0.2">
      <c r="A98" s="10"/>
      <c r="B98" s="112" t="s">
        <v>26</v>
      </c>
      <c r="C98" s="113">
        <f>SUM(C99:C103)</f>
        <v>0</v>
      </c>
    </row>
    <row r="99" spans="1:3" x14ac:dyDescent="0.2">
      <c r="A99" s="84"/>
      <c r="B99" s="57"/>
      <c r="C99" s="69"/>
    </row>
    <row r="100" spans="1:3" x14ac:dyDescent="0.2">
      <c r="A100" s="84"/>
      <c r="B100" s="57"/>
      <c r="C100" s="69"/>
    </row>
    <row r="101" spans="1:3" x14ac:dyDescent="0.2">
      <c r="A101" s="84"/>
      <c r="B101" s="57"/>
      <c r="C101" s="69"/>
    </row>
    <row r="102" spans="1:3" x14ac:dyDescent="0.2">
      <c r="A102" s="84"/>
      <c r="B102" s="57"/>
      <c r="C102" s="69"/>
    </row>
    <row r="103" spans="1:3" ht="13.5" thickBot="1" x14ac:dyDescent="0.25">
      <c r="A103" s="59"/>
      <c r="B103" s="13"/>
      <c r="C103" s="14"/>
    </row>
    <row r="104" spans="1:3" ht="13.5" thickBot="1" x14ac:dyDescent="0.25">
      <c r="A104" s="2"/>
      <c r="C104" s="4"/>
    </row>
    <row r="105" spans="1:3" x14ac:dyDescent="0.2">
      <c r="A105" s="10"/>
      <c r="B105" s="112" t="s">
        <v>53</v>
      </c>
      <c r="C105" s="113">
        <f>SUM(C106:C109)</f>
        <v>0</v>
      </c>
    </row>
    <row r="106" spans="1:3" x14ac:dyDescent="0.2">
      <c r="A106" s="70"/>
      <c r="B106" s="57"/>
      <c r="C106" s="71"/>
    </row>
    <row r="107" spans="1:3" x14ac:dyDescent="0.2">
      <c r="A107" s="70"/>
      <c r="B107" s="57"/>
      <c r="C107" s="71"/>
    </row>
    <row r="108" spans="1:3" x14ac:dyDescent="0.2">
      <c r="A108" s="70"/>
      <c r="B108" s="57"/>
      <c r="C108" s="71"/>
    </row>
    <row r="109" spans="1:3" ht="13.5" thickBot="1" x14ac:dyDescent="0.25">
      <c r="A109" s="12"/>
      <c r="B109" s="61"/>
      <c r="C109" s="14"/>
    </row>
    <row r="110" spans="1:3" ht="13.5" thickBot="1" x14ac:dyDescent="0.25">
      <c r="A110" s="21"/>
      <c r="B110" s="60"/>
      <c r="C110" s="29"/>
    </row>
    <row r="111" spans="1:3" x14ac:dyDescent="0.2">
      <c r="A111" s="10"/>
      <c r="B111" s="112" t="s">
        <v>51</v>
      </c>
      <c r="C111" s="113">
        <f>SUM(C112)</f>
        <v>0</v>
      </c>
    </row>
    <row r="112" spans="1:3" ht="13.5" thickBot="1" x14ac:dyDescent="0.25">
      <c r="A112" s="88"/>
      <c r="B112" s="58"/>
      <c r="C112" s="14"/>
    </row>
    <row r="113" spans="1:3" ht="13.5" thickBot="1" x14ac:dyDescent="0.25">
      <c r="A113" s="21"/>
      <c r="B113" s="60"/>
      <c r="C113" s="29"/>
    </row>
    <row r="114" spans="1:3" x14ac:dyDescent="0.2">
      <c r="A114" s="10"/>
      <c r="B114" s="112" t="s">
        <v>49</v>
      </c>
      <c r="C114" s="113">
        <f>SUM(C115:C116)</f>
        <v>696</v>
      </c>
    </row>
    <row r="115" spans="1:3" x14ac:dyDescent="0.2">
      <c r="A115" s="94" t="s">
        <v>340</v>
      </c>
      <c r="B115" s="57" t="s">
        <v>342</v>
      </c>
      <c r="C115" s="71">
        <v>696</v>
      </c>
    </row>
    <row r="116" spans="1:3" ht="13.5" thickBot="1" x14ac:dyDescent="0.25">
      <c r="A116" s="12"/>
      <c r="B116" s="58"/>
      <c r="C116" s="14"/>
    </row>
    <row r="117" spans="1:3" ht="13.5" thickBot="1" x14ac:dyDescent="0.25">
      <c r="A117" s="21"/>
      <c r="B117" s="57"/>
      <c r="C117" s="29"/>
    </row>
    <row r="118" spans="1:3" x14ac:dyDescent="0.2">
      <c r="A118" s="10"/>
      <c r="B118" s="112" t="s">
        <v>75</v>
      </c>
      <c r="C118" s="113">
        <f>SUM(C119)</f>
        <v>0</v>
      </c>
    </row>
    <row r="119" spans="1:3" ht="13.5" thickBot="1" x14ac:dyDescent="0.25">
      <c r="A119" s="59"/>
      <c r="B119" s="58"/>
      <c r="C119" s="14"/>
    </row>
    <row r="120" spans="1:3" ht="13.5" thickBot="1" x14ac:dyDescent="0.25">
      <c r="A120" s="2"/>
    </row>
    <row r="121" spans="1:3" x14ac:dyDescent="0.2">
      <c r="A121" s="10"/>
      <c r="B121" s="112" t="s">
        <v>77</v>
      </c>
      <c r="C121" s="113">
        <f>C122</f>
        <v>232481.66</v>
      </c>
    </row>
    <row r="122" spans="1:3" ht="13.5" thickBot="1" x14ac:dyDescent="0.25">
      <c r="A122" s="12" t="s">
        <v>343</v>
      </c>
      <c r="B122" s="13" t="s">
        <v>344</v>
      </c>
      <c r="C122" s="14">
        <v>232481.66</v>
      </c>
    </row>
    <row r="123" spans="1:3" ht="13.5" thickBot="1" x14ac:dyDescent="0.25">
      <c r="A123" s="2"/>
      <c r="C123" s="1"/>
    </row>
    <row r="124" spans="1:3" x14ac:dyDescent="0.2">
      <c r="A124" s="10"/>
      <c r="B124" s="112" t="s">
        <v>78</v>
      </c>
      <c r="C124" s="113">
        <f>C125</f>
        <v>201205.48</v>
      </c>
    </row>
    <row r="125" spans="1:3" ht="13.5" thickBot="1" x14ac:dyDescent="0.25">
      <c r="A125" s="12" t="s">
        <v>339</v>
      </c>
      <c r="B125" s="18" t="s">
        <v>338</v>
      </c>
      <c r="C125" s="14">
        <v>201205.48</v>
      </c>
    </row>
    <row r="126" spans="1:3" ht="13.5" thickBot="1" x14ac:dyDescent="0.25">
      <c r="A126" s="2"/>
      <c r="C126" s="4"/>
    </row>
    <row r="127" spans="1:3" x14ac:dyDescent="0.2">
      <c r="A127" s="10"/>
      <c r="B127" s="112" t="s">
        <v>30</v>
      </c>
      <c r="C127" s="113">
        <f>SUM(C128:C130)</f>
        <v>0</v>
      </c>
    </row>
    <row r="128" spans="1:3" x14ac:dyDescent="0.2">
      <c r="A128" s="70"/>
      <c r="B128" s="57"/>
      <c r="C128" s="69"/>
    </row>
    <row r="129" spans="1:3" x14ac:dyDescent="0.2">
      <c r="A129" s="70"/>
      <c r="B129" s="57"/>
      <c r="C129" s="69"/>
    </row>
    <row r="130" spans="1:3" ht="13.5" thickBot="1" x14ac:dyDescent="0.25">
      <c r="A130" s="12"/>
      <c r="B130" s="13"/>
      <c r="C130" s="14"/>
    </row>
    <row r="131" spans="1:3" ht="13.5" thickBot="1" x14ac:dyDescent="0.25">
      <c r="A131" s="2"/>
      <c r="C131" s="4"/>
    </row>
    <row r="132" spans="1:3" x14ac:dyDescent="0.2">
      <c r="A132" s="10"/>
      <c r="B132" s="112" t="s">
        <v>18</v>
      </c>
      <c r="C132" s="113">
        <f>SUM(C133:C134)</f>
        <v>0</v>
      </c>
    </row>
    <row r="133" spans="1:3" x14ac:dyDescent="0.2">
      <c r="A133" s="70"/>
      <c r="B133" s="57"/>
      <c r="C133" s="69"/>
    </row>
    <row r="134" spans="1:3" ht="13.5" thickBot="1" x14ac:dyDescent="0.25">
      <c r="A134" s="12"/>
      <c r="B134" s="13"/>
      <c r="C134" s="14"/>
    </row>
    <row r="135" spans="1:3" ht="13.5" thickBot="1" x14ac:dyDescent="0.25">
      <c r="A135" s="2"/>
      <c r="C135" s="1"/>
    </row>
    <row r="136" spans="1:3" x14ac:dyDescent="0.2">
      <c r="A136" s="10"/>
      <c r="B136" s="112" t="s">
        <v>31</v>
      </c>
      <c r="C136" s="113">
        <f>SUM(C137:C138)</f>
        <v>0</v>
      </c>
    </row>
    <row r="137" spans="1:3" x14ac:dyDescent="0.2">
      <c r="A137" s="94"/>
      <c r="B137" s="57"/>
      <c r="C137" s="71"/>
    </row>
    <row r="138" spans="1:3" ht="13.5" thickBot="1" x14ac:dyDescent="0.25">
      <c r="A138" s="103"/>
      <c r="B138" s="18"/>
      <c r="C138" s="14"/>
    </row>
    <row r="139" spans="1:3" ht="13.5" thickBot="1" x14ac:dyDescent="0.25">
      <c r="A139" s="5"/>
      <c r="C139" s="1"/>
    </row>
    <row r="140" spans="1:3" x14ac:dyDescent="0.2">
      <c r="A140" s="10"/>
      <c r="B140" s="112" t="s">
        <v>32</v>
      </c>
      <c r="C140" s="113">
        <v>0</v>
      </c>
    </row>
    <row r="141" spans="1:3" ht="13.5" thickBot="1" x14ac:dyDescent="0.25">
      <c r="A141" s="12"/>
      <c r="B141" s="61"/>
      <c r="C141" s="14"/>
    </row>
    <row r="142" spans="1:3" ht="13.5" thickBot="1" x14ac:dyDescent="0.25">
      <c r="A142" s="2"/>
    </row>
    <row r="143" spans="1:3" x14ac:dyDescent="0.2">
      <c r="A143" s="10"/>
      <c r="B143" s="112" t="s">
        <v>33</v>
      </c>
      <c r="C143" s="113">
        <f>SUM(C144:C145)</f>
        <v>0</v>
      </c>
    </row>
    <row r="144" spans="1:3" x14ac:dyDescent="0.2">
      <c r="A144" s="82"/>
      <c r="B144" s="57"/>
      <c r="C144" s="71"/>
    </row>
    <row r="145" spans="1:3" ht="13.5" thickBot="1" x14ac:dyDescent="0.25">
      <c r="A145" s="12"/>
      <c r="B145" s="58"/>
      <c r="C145" s="14"/>
    </row>
    <row r="146" spans="1:3" ht="13.5" thickBot="1" x14ac:dyDescent="0.25">
      <c r="A146" s="2"/>
    </row>
    <row r="147" spans="1:3" x14ac:dyDescent="0.2">
      <c r="A147" s="10"/>
      <c r="B147" s="112" t="s">
        <v>34</v>
      </c>
      <c r="C147" s="113">
        <f>SUM(C148:C153)</f>
        <v>28361.57</v>
      </c>
    </row>
    <row r="148" spans="1:3" x14ac:dyDescent="0.2">
      <c r="A148" s="84" t="s">
        <v>345</v>
      </c>
      <c r="B148" s="91" t="s">
        <v>346</v>
      </c>
      <c r="C148" s="69">
        <v>24641.279999999999</v>
      </c>
    </row>
    <row r="149" spans="1:3" x14ac:dyDescent="0.2">
      <c r="A149" s="84" t="s">
        <v>349</v>
      </c>
      <c r="B149" s="57" t="s">
        <v>351</v>
      </c>
      <c r="C149" s="71">
        <f>55*17</f>
        <v>935</v>
      </c>
    </row>
    <row r="150" spans="1:3" x14ac:dyDescent="0.2">
      <c r="A150" s="84" t="s">
        <v>349</v>
      </c>
      <c r="B150" s="57" t="s">
        <v>353</v>
      </c>
      <c r="C150" s="71">
        <f>55*17</f>
        <v>935</v>
      </c>
    </row>
    <row r="151" spans="1:3" x14ac:dyDescent="0.2">
      <c r="A151" s="84" t="s">
        <v>396</v>
      </c>
      <c r="B151" s="57" t="s">
        <v>399</v>
      </c>
      <c r="C151" s="71">
        <f>704.31</f>
        <v>704.31</v>
      </c>
    </row>
    <row r="152" spans="1:3" x14ac:dyDescent="0.2">
      <c r="A152" s="84" t="s">
        <v>366</v>
      </c>
      <c r="B152" s="57" t="s">
        <v>599</v>
      </c>
      <c r="C152" s="71">
        <v>1145.98</v>
      </c>
    </row>
    <row r="153" spans="1:3" ht="13.5" thickBot="1" x14ac:dyDescent="0.25">
      <c r="A153" s="59"/>
      <c r="B153" s="13"/>
      <c r="C153" s="14"/>
    </row>
    <row r="154" spans="1:3" ht="13.5" thickBot="1" x14ac:dyDescent="0.25">
      <c r="A154" s="2"/>
      <c r="C154" s="1"/>
    </row>
    <row r="155" spans="1:3" x14ac:dyDescent="0.2">
      <c r="A155" s="10"/>
      <c r="B155" s="112" t="s">
        <v>35</v>
      </c>
      <c r="C155" s="113">
        <f>SUM(C156:C159)</f>
        <v>3381.5</v>
      </c>
    </row>
    <row r="156" spans="1:3" x14ac:dyDescent="0.2">
      <c r="A156" s="94" t="s">
        <v>396</v>
      </c>
      <c r="B156" s="57" t="s">
        <v>592</v>
      </c>
      <c r="C156" s="69">
        <v>1481.5</v>
      </c>
    </row>
    <row r="157" spans="1:3" x14ac:dyDescent="0.2">
      <c r="A157" s="94" t="s">
        <v>493</v>
      </c>
      <c r="B157" s="57" t="s">
        <v>593</v>
      </c>
      <c r="C157" s="69">
        <v>400</v>
      </c>
    </row>
    <row r="158" spans="1:3" x14ac:dyDescent="0.2">
      <c r="A158" s="94" t="s">
        <v>340</v>
      </c>
      <c r="B158" s="57" t="s">
        <v>594</v>
      </c>
      <c r="C158" s="69">
        <v>1500</v>
      </c>
    </row>
    <row r="159" spans="1:3" ht="13.5" thickBot="1" x14ac:dyDescent="0.25">
      <c r="A159" s="59"/>
      <c r="B159" s="13"/>
      <c r="C159" s="14"/>
    </row>
    <row r="160" spans="1:3" ht="13.5" thickBot="1" x14ac:dyDescent="0.25">
      <c r="A160" s="2"/>
      <c r="C160" s="1"/>
    </row>
    <row r="161" spans="1:3" x14ac:dyDescent="0.2">
      <c r="A161" s="10"/>
      <c r="B161" s="112" t="s">
        <v>37</v>
      </c>
      <c r="C161" s="113">
        <f>SUM(C162:C167)</f>
        <v>14833.869999999999</v>
      </c>
    </row>
    <row r="162" spans="1:3" x14ac:dyDescent="0.2">
      <c r="A162" s="84" t="s">
        <v>340</v>
      </c>
      <c r="B162" s="57" t="s">
        <v>341</v>
      </c>
      <c r="C162" s="71">
        <v>2473.1999999999998</v>
      </c>
    </row>
    <row r="163" spans="1:3" x14ac:dyDescent="0.2">
      <c r="A163" s="84" t="s">
        <v>349</v>
      </c>
      <c r="B163" s="57" t="s">
        <v>350</v>
      </c>
      <c r="C163" s="71">
        <v>214.18</v>
      </c>
    </row>
    <row r="164" spans="1:3" x14ac:dyDescent="0.2">
      <c r="A164" s="84" t="s">
        <v>349</v>
      </c>
      <c r="B164" s="57" t="s">
        <v>352</v>
      </c>
      <c r="C164" s="71">
        <v>218.49</v>
      </c>
    </row>
    <row r="165" spans="1:3" x14ac:dyDescent="0.2">
      <c r="A165" s="70" t="s">
        <v>340</v>
      </c>
      <c r="B165" s="57" t="s">
        <v>404</v>
      </c>
      <c r="C165" s="71">
        <v>11928</v>
      </c>
    </row>
    <row r="166" spans="1:3" x14ac:dyDescent="0.2">
      <c r="A166" s="70"/>
      <c r="B166" s="57"/>
      <c r="C166" s="71"/>
    </row>
    <row r="167" spans="1:3" ht="13.5" thickBot="1" x14ac:dyDescent="0.25">
      <c r="A167" s="12"/>
      <c r="B167" s="13"/>
      <c r="C167" s="14"/>
    </row>
    <row r="168" spans="1:3" ht="13.5" thickBot="1" x14ac:dyDescent="0.25">
      <c r="A168" s="21"/>
      <c r="B168" s="11"/>
      <c r="C168" s="29"/>
    </row>
    <row r="169" spans="1:3" x14ac:dyDescent="0.2">
      <c r="A169" s="10"/>
      <c r="B169" s="112" t="s">
        <v>54</v>
      </c>
      <c r="C169" s="113">
        <f>SUM(C170)</f>
        <v>11628.68</v>
      </c>
    </row>
    <row r="170" spans="1:3" ht="13.5" thickBot="1" x14ac:dyDescent="0.25">
      <c r="A170" s="59" t="s">
        <v>347</v>
      </c>
      <c r="B170" s="58" t="s">
        <v>348</v>
      </c>
      <c r="C170" s="14">
        <f>684.04*17</f>
        <v>11628.68</v>
      </c>
    </row>
    <row r="171" spans="1:3" ht="13.5" thickBot="1" x14ac:dyDescent="0.25">
      <c r="A171" s="26"/>
      <c r="B171" s="57"/>
      <c r="C171" s="29"/>
    </row>
    <row r="172" spans="1:3" x14ac:dyDescent="0.2">
      <c r="A172" s="23"/>
      <c r="B172" s="112" t="s">
        <v>38</v>
      </c>
      <c r="C172" s="113">
        <f>SUM(C173:C198)</f>
        <v>121473.34999999999</v>
      </c>
    </row>
    <row r="173" spans="1:3" x14ac:dyDescent="0.2">
      <c r="A173" s="73" t="s">
        <v>343</v>
      </c>
      <c r="B173" s="57" t="s">
        <v>354</v>
      </c>
      <c r="C173" s="71">
        <f>592+513</f>
        <v>1105</v>
      </c>
    </row>
    <row r="174" spans="1:3" x14ac:dyDescent="0.2">
      <c r="A174" s="73" t="s">
        <v>343</v>
      </c>
      <c r="B174" s="57" t="s">
        <v>355</v>
      </c>
      <c r="C174" s="71">
        <v>6725</v>
      </c>
    </row>
    <row r="175" spans="1:3" x14ac:dyDescent="0.2">
      <c r="A175" s="73" t="s">
        <v>340</v>
      </c>
      <c r="B175" s="57" t="s">
        <v>356</v>
      </c>
      <c r="C175" s="71">
        <v>5975</v>
      </c>
    </row>
    <row r="176" spans="1:3" x14ac:dyDescent="0.2">
      <c r="A176" s="73" t="s">
        <v>340</v>
      </c>
      <c r="B176" s="57" t="s">
        <v>357</v>
      </c>
      <c r="C176" s="71">
        <v>1105</v>
      </c>
    </row>
    <row r="177" spans="1:3" x14ac:dyDescent="0.2">
      <c r="A177" s="96" t="s">
        <v>340</v>
      </c>
      <c r="B177" s="57" t="s">
        <v>358</v>
      </c>
      <c r="C177" s="71">
        <v>6725</v>
      </c>
    </row>
    <row r="178" spans="1:3" x14ac:dyDescent="0.2">
      <c r="A178" s="96" t="s">
        <v>340</v>
      </c>
      <c r="B178" s="57" t="s">
        <v>359</v>
      </c>
      <c r="C178" s="71">
        <v>1105</v>
      </c>
    </row>
    <row r="179" spans="1:3" x14ac:dyDescent="0.2">
      <c r="A179" s="96" t="s">
        <v>340</v>
      </c>
      <c r="B179" s="57" t="s">
        <v>360</v>
      </c>
      <c r="C179" s="71">
        <v>5975</v>
      </c>
    </row>
    <row r="180" spans="1:3" x14ac:dyDescent="0.2">
      <c r="A180" s="96" t="s">
        <v>340</v>
      </c>
      <c r="B180" s="57" t="s">
        <v>361</v>
      </c>
      <c r="C180" s="71">
        <v>1102.01</v>
      </c>
    </row>
    <row r="181" spans="1:3" x14ac:dyDescent="0.2">
      <c r="A181" s="96" t="s">
        <v>340</v>
      </c>
      <c r="B181" s="57" t="s">
        <v>362</v>
      </c>
      <c r="C181" s="71">
        <v>5975</v>
      </c>
    </row>
    <row r="182" spans="1:3" x14ac:dyDescent="0.2">
      <c r="A182" s="96" t="s">
        <v>340</v>
      </c>
      <c r="B182" s="57" t="s">
        <v>363</v>
      </c>
      <c r="C182" s="71">
        <v>1105</v>
      </c>
    </row>
    <row r="183" spans="1:3" x14ac:dyDescent="0.2">
      <c r="A183" s="96" t="s">
        <v>340</v>
      </c>
      <c r="B183" s="57" t="s">
        <v>364</v>
      </c>
      <c r="C183" s="71">
        <v>5975</v>
      </c>
    </row>
    <row r="184" spans="1:3" x14ac:dyDescent="0.2">
      <c r="A184" s="96" t="s">
        <v>340</v>
      </c>
      <c r="B184" s="57" t="s">
        <v>365</v>
      </c>
      <c r="C184" s="71">
        <v>1105</v>
      </c>
    </row>
    <row r="185" spans="1:3" x14ac:dyDescent="0.2">
      <c r="A185" s="96" t="s">
        <v>366</v>
      </c>
      <c r="B185" s="57" t="s">
        <v>367</v>
      </c>
      <c r="C185" s="71">
        <v>6725</v>
      </c>
    </row>
    <row r="186" spans="1:3" x14ac:dyDescent="0.2">
      <c r="A186" s="96" t="s">
        <v>493</v>
      </c>
      <c r="B186" s="57" t="s">
        <v>494</v>
      </c>
      <c r="C186" s="71">
        <v>10807</v>
      </c>
    </row>
    <row r="187" spans="1:3" x14ac:dyDescent="0.2">
      <c r="A187" s="96" t="s">
        <v>366</v>
      </c>
      <c r="B187" s="57" t="s">
        <v>368</v>
      </c>
      <c r="C187" s="71">
        <v>8192.9</v>
      </c>
    </row>
    <row r="188" spans="1:3" x14ac:dyDescent="0.2">
      <c r="A188" s="96" t="s">
        <v>366</v>
      </c>
      <c r="B188" s="57" t="s">
        <v>369</v>
      </c>
      <c r="C188" s="71">
        <v>6725</v>
      </c>
    </row>
    <row r="189" spans="1:3" x14ac:dyDescent="0.2">
      <c r="A189" s="96" t="s">
        <v>366</v>
      </c>
      <c r="B189" s="57" t="s">
        <v>370</v>
      </c>
      <c r="C189" s="71">
        <v>22612.44</v>
      </c>
    </row>
    <row r="190" spans="1:3" x14ac:dyDescent="0.2">
      <c r="A190" s="96" t="s">
        <v>493</v>
      </c>
      <c r="B190" s="57" t="s">
        <v>497</v>
      </c>
      <c r="C190" s="71">
        <v>10807</v>
      </c>
    </row>
    <row r="191" spans="1:3" x14ac:dyDescent="0.2">
      <c r="A191" s="96" t="s">
        <v>490</v>
      </c>
      <c r="B191" s="57" t="s">
        <v>491</v>
      </c>
      <c r="C191" s="71">
        <v>300</v>
      </c>
    </row>
    <row r="192" spans="1:3" x14ac:dyDescent="0.2">
      <c r="A192" s="96" t="s">
        <v>490</v>
      </c>
      <c r="B192" s="57" t="s">
        <v>492</v>
      </c>
      <c r="C192" s="71">
        <v>592</v>
      </c>
    </row>
    <row r="193" spans="1:4" x14ac:dyDescent="0.2">
      <c r="A193" s="96" t="s">
        <v>495</v>
      </c>
      <c r="B193" s="57" t="s">
        <v>496</v>
      </c>
      <c r="C193" s="71">
        <v>772</v>
      </c>
    </row>
    <row r="194" spans="1:4" x14ac:dyDescent="0.2">
      <c r="A194" s="96" t="s">
        <v>498</v>
      </c>
      <c r="B194" s="57" t="s">
        <v>499</v>
      </c>
      <c r="C194" s="71">
        <v>8858</v>
      </c>
    </row>
    <row r="195" spans="1:4" x14ac:dyDescent="0.2">
      <c r="A195" s="96" t="s">
        <v>498</v>
      </c>
      <c r="B195" s="57" t="s">
        <v>500</v>
      </c>
      <c r="C195" s="71">
        <v>1105</v>
      </c>
    </row>
    <row r="196" spans="1:4" x14ac:dyDescent="0.2">
      <c r="A196" s="96"/>
      <c r="B196" s="57"/>
      <c r="C196" s="71"/>
    </row>
    <row r="197" spans="1:4" x14ac:dyDescent="0.2">
      <c r="A197" s="73"/>
      <c r="B197" s="57"/>
      <c r="C197" s="71"/>
    </row>
    <row r="198" spans="1:4" ht="13.5" thickBot="1" x14ac:dyDescent="0.25">
      <c r="A198" s="24"/>
      <c r="B198" s="58"/>
      <c r="C198" s="14"/>
      <c r="D198" s="1"/>
    </row>
    <row r="199" spans="1:4" ht="13.5" thickBot="1" x14ac:dyDescent="0.25">
      <c r="A199" s="26"/>
      <c r="B199" s="57"/>
      <c r="C199" s="29"/>
    </row>
    <row r="200" spans="1:4" x14ac:dyDescent="0.2">
      <c r="A200" s="10"/>
      <c r="B200" s="112" t="s">
        <v>27</v>
      </c>
      <c r="C200" s="113">
        <f>SUM(C201:C206)</f>
        <v>3828</v>
      </c>
    </row>
    <row r="201" spans="1:4" x14ac:dyDescent="0.2">
      <c r="A201" s="84" t="s">
        <v>396</v>
      </c>
      <c r="B201" s="57" t="s">
        <v>398</v>
      </c>
      <c r="C201" s="69">
        <f>1508+2320</f>
        <v>3828</v>
      </c>
    </row>
    <row r="202" spans="1:4" x14ac:dyDescent="0.2">
      <c r="A202" s="84"/>
      <c r="B202" s="57"/>
      <c r="C202" s="69"/>
    </row>
    <row r="203" spans="1:4" x14ac:dyDescent="0.2">
      <c r="A203" s="84"/>
      <c r="B203" s="57"/>
      <c r="C203" s="69"/>
    </row>
    <row r="204" spans="1:4" x14ac:dyDescent="0.2">
      <c r="A204" s="84"/>
      <c r="B204" s="57"/>
      <c r="C204" s="69"/>
    </row>
    <row r="205" spans="1:4" x14ac:dyDescent="0.2">
      <c r="A205" s="70"/>
      <c r="B205" s="57"/>
      <c r="C205" s="69"/>
    </row>
    <row r="206" spans="1:4" ht="13.5" thickBot="1" x14ac:dyDescent="0.25">
      <c r="A206" s="12"/>
      <c r="B206" s="13"/>
      <c r="C206" s="14"/>
    </row>
    <row r="207" spans="1:4" x14ac:dyDescent="0.2">
      <c r="A207" s="2"/>
    </row>
    <row r="208" spans="1:4" ht="13.5" thickBot="1" x14ac:dyDescent="0.25">
      <c r="A208" s="28"/>
      <c r="B208" s="8"/>
      <c r="C208" s="8"/>
    </row>
    <row r="209" spans="1:3" ht="13.5" thickBot="1" x14ac:dyDescent="0.25">
      <c r="A209" s="117"/>
      <c r="B209" s="115" t="s">
        <v>0</v>
      </c>
      <c r="C209" s="116">
        <f>SUM(C210:C210)</f>
        <v>0</v>
      </c>
    </row>
    <row r="210" spans="1:3" ht="13.5" thickBot="1" x14ac:dyDescent="0.25">
      <c r="A210" s="27"/>
      <c r="B210" s="63"/>
      <c r="C210" s="64"/>
    </row>
    <row r="212" spans="1:3" x14ac:dyDescent="0.2">
      <c r="A212" s="1"/>
      <c r="B212" s="1"/>
    </row>
    <row r="213" spans="1:3" x14ac:dyDescent="0.2">
      <c r="A213" s="1"/>
      <c r="B213" s="1"/>
    </row>
    <row r="214" spans="1:3" x14ac:dyDescent="0.2">
      <c r="A214" s="1"/>
      <c r="B214" s="1"/>
    </row>
    <row r="215" spans="1:3" x14ac:dyDescent="0.2">
      <c r="A215" s="1"/>
      <c r="B215" s="1"/>
    </row>
    <row r="216" spans="1:3" x14ac:dyDescent="0.2">
      <c r="A216" s="1"/>
      <c r="B216" s="1"/>
    </row>
    <row r="217" spans="1:3" x14ac:dyDescent="0.2">
      <c r="A217" s="1"/>
      <c r="B217" s="1"/>
    </row>
    <row r="218" spans="1:3" x14ac:dyDescent="0.2">
      <c r="A218" s="1"/>
      <c r="B218" s="1"/>
    </row>
    <row r="219" spans="1:3" x14ac:dyDescent="0.2">
      <c r="A219" s="1"/>
      <c r="B219" s="1"/>
    </row>
    <row r="220" spans="1:3" x14ac:dyDescent="0.2">
      <c r="A220" s="1"/>
      <c r="B220" s="1"/>
    </row>
    <row r="221" spans="1:3" x14ac:dyDescent="0.2">
      <c r="A221" s="1"/>
      <c r="B221" s="1"/>
    </row>
    <row r="222" spans="1:3" x14ac:dyDescent="0.2">
      <c r="A222" s="1"/>
      <c r="B222" s="1"/>
    </row>
    <row r="223" spans="1:3" x14ac:dyDescent="0.2">
      <c r="A223" s="1"/>
      <c r="B223" s="1"/>
      <c r="C223" s="4"/>
    </row>
    <row r="224" spans="1:3" x14ac:dyDescent="0.2">
      <c r="A224" s="1"/>
      <c r="B224" s="1"/>
    </row>
    <row r="225" spans="1:2" x14ac:dyDescent="0.2">
      <c r="A225" s="1"/>
      <c r="B225" s="1"/>
    </row>
    <row r="226" spans="1:2" x14ac:dyDescent="0.2">
      <c r="A226" s="1"/>
      <c r="B226" s="1"/>
    </row>
    <row r="227" spans="1:2" x14ac:dyDescent="0.2">
      <c r="A227" s="1"/>
      <c r="B227" s="1"/>
    </row>
    <row r="228" spans="1:2" x14ac:dyDescent="0.2">
      <c r="A228" s="1"/>
      <c r="B228" s="1"/>
    </row>
    <row r="229" spans="1:2" x14ac:dyDescent="0.2">
      <c r="A229" s="1"/>
      <c r="B229" s="1"/>
    </row>
    <row r="230" spans="1:2" x14ac:dyDescent="0.2">
      <c r="A230"/>
    </row>
    <row r="231" spans="1:2" x14ac:dyDescent="0.2">
      <c r="A231"/>
    </row>
    <row r="232" spans="1:2" x14ac:dyDescent="0.2">
      <c r="A232"/>
    </row>
    <row r="233" spans="1:2" x14ac:dyDescent="0.2">
      <c r="A233"/>
    </row>
    <row r="234" spans="1:2" x14ac:dyDescent="0.2">
      <c r="A234"/>
    </row>
    <row r="235" spans="1:2" x14ac:dyDescent="0.2">
      <c r="A235"/>
    </row>
    <row r="236" spans="1:2" x14ac:dyDescent="0.2">
      <c r="A236"/>
    </row>
    <row r="237" spans="1:2" x14ac:dyDescent="0.2">
      <c r="A237"/>
    </row>
    <row r="238" spans="1:2" x14ac:dyDescent="0.2">
      <c r="A238"/>
    </row>
    <row r="239" spans="1:2" x14ac:dyDescent="0.2">
      <c r="A239"/>
    </row>
    <row r="240" spans="1:2" x14ac:dyDescent="0.2">
      <c r="A240" s="25"/>
    </row>
    <row r="241" spans="1:1" x14ac:dyDescent="0.2">
      <c r="A241" s="25"/>
    </row>
    <row r="242" spans="1:1" x14ac:dyDescent="0.2">
      <c r="A242" s="25"/>
    </row>
    <row r="243" spans="1:1" x14ac:dyDescent="0.2">
      <c r="A243" s="25"/>
    </row>
    <row r="244" spans="1:1" x14ac:dyDescent="0.2">
      <c r="A244" s="25"/>
    </row>
    <row r="245" spans="1:1" x14ac:dyDescent="0.2">
      <c r="A245" s="25"/>
    </row>
    <row r="246" spans="1:1" x14ac:dyDescent="0.2">
      <c r="A246" s="25"/>
    </row>
    <row r="247" spans="1:1" x14ac:dyDescent="0.2">
      <c r="A247" s="25"/>
    </row>
    <row r="248" spans="1:1" x14ac:dyDescent="0.2">
      <c r="A248" s="25"/>
    </row>
    <row r="249" spans="1:1" x14ac:dyDescent="0.2">
      <c r="A249" s="25"/>
    </row>
    <row r="250" spans="1:1" x14ac:dyDescent="0.2">
      <c r="A250" s="25"/>
    </row>
    <row r="251" spans="1:1" x14ac:dyDescent="0.2">
      <c r="A251" s="25"/>
    </row>
  </sheetData>
  <mergeCells count="1">
    <mergeCell ref="A2:B2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C234"/>
  <sheetViews>
    <sheetView topLeftCell="A139" workbookViewId="0">
      <selection activeCell="B161" sqref="B161"/>
    </sheetView>
  </sheetViews>
  <sheetFormatPr defaultRowHeight="12.75" x14ac:dyDescent="0.2"/>
  <cols>
    <col min="1" max="1" width="9.42578125" style="22" bestFit="1" customWidth="1"/>
    <col min="2" max="2" width="84.28515625" customWidth="1"/>
    <col min="3" max="3" width="18.42578125" customWidth="1"/>
  </cols>
  <sheetData>
    <row r="1" spans="1:3" ht="13.5" thickBot="1" x14ac:dyDescent="0.25">
      <c r="A1"/>
    </row>
    <row r="2" spans="1:3" ht="13.5" thickBot="1" x14ac:dyDescent="0.25">
      <c r="A2" s="147" t="s">
        <v>61</v>
      </c>
      <c r="B2" s="148"/>
      <c r="C2" s="20">
        <f>C4+C87</f>
        <v>1077114.602</v>
      </c>
    </row>
    <row r="3" spans="1:3" ht="13.5" thickBot="1" x14ac:dyDescent="0.25">
      <c r="A3" s="16" t="s">
        <v>20</v>
      </c>
      <c r="B3" s="15" t="s">
        <v>21</v>
      </c>
      <c r="C3" s="17" t="s">
        <v>22</v>
      </c>
    </row>
    <row r="4" spans="1:3" ht="13.5" thickBot="1" x14ac:dyDescent="0.25">
      <c r="A4" s="114"/>
      <c r="B4" s="115" t="s">
        <v>23</v>
      </c>
      <c r="C4" s="116">
        <f>C5+C9+C15+C21+C25+C32+C39+C48+C57+C64+C69+C76+C79</f>
        <v>173717.902</v>
      </c>
    </row>
    <row r="5" spans="1:3" x14ac:dyDescent="0.2">
      <c r="A5" s="10"/>
      <c r="B5" s="112" t="s">
        <v>36</v>
      </c>
      <c r="C5" s="113">
        <f>SUM(C6:C7)</f>
        <v>0</v>
      </c>
    </row>
    <row r="6" spans="1:3" x14ac:dyDescent="0.2">
      <c r="A6" s="70"/>
      <c r="B6" s="57"/>
      <c r="C6" s="69"/>
    </row>
    <row r="7" spans="1:3" ht="13.5" thickBot="1" x14ac:dyDescent="0.25">
      <c r="A7" s="59"/>
      <c r="B7" s="13"/>
      <c r="C7" s="14"/>
    </row>
    <row r="8" spans="1:3" ht="13.5" thickBot="1" x14ac:dyDescent="0.25">
      <c r="A8" s="21"/>
      <c r="B8" s="11"/>
      <c r="C8" s="29"/>
    </row>
    <row r="9" spans="1:3" x14ac:dyDescent="0.2">
      <c r="A9" s="10"/>
      <c r="B9" s="112" t="s">
        <v>47</v>
      </c>
      <c r="C9" s="113">
        <f>SUM(C10:C13)</f>
        <v>2400</v>
      </c>
    </row>
    <row r="10" spans="1:3" x14ac:dyDescent="0.2">
      <c r="A10" s="70">
        <v>45175</v>
      </c>
      <c r="B10" s="57" t="s">
        <v>416</v>
      </c>
      <c r="C10" s="71">
        <f>2400</f>
        <v>2400</v>
      </c>
    </row>
    <row r="11" spans="1:3" x14ac:dyDescent="0.2">
      <c r="A11" s="70"/>
      <c r="B11" s="57"/>
      <c r="C11" s="71"/>
    </row>
    <row r="12" spans="1:3" x14ac:dyDescent="0.2">
      <c r="A12" s="70"/>
      <c r="B12" s="57"/>
      <c r="C12" s="71"/>
    </row>
    <row r="13" spans="1:3" ht="13.5" thickBot="1" x14ac:dyDescent="0.25">
      <c r="A13" s="12"/>
      <c r="B13" s="13"/>
      <c r="C13" s="14"/>
    </row>
    <row r="14" spans="1:3" ht="13.5" thickBot="1" x14ac:dyDescent="0.25">
      <c r="A14" s="21"/>
      <c r="B14" s="11"/>
      <c r="C14" s="29"/>
    </row>
    <row r="15" spans="1:3" x14ac:dyDescent="0.2">
      <c r="A15" s="10"/>
      <c r="B15" s="112" t="s">
        <v>48</v>
      </c>
      <c r="C15" s="113">
        <f>SUM(C16:C19)</f>
        <v>1572.2</v>
      </c>
    </row>
    <row r="16" spans="1:3" x14ac:dyDescent="0.2">
      <c r="A16" s="70">
        <v>45175</v>
      </c>
      <c r="B16" s="57" t="s">
        <v>418</v>
      </c>
      <c r="C16" s="71">
        <f>1572.2</f>
        <v>1572.2</v>
      </c>
    </row>
    <row r="17" spans="1:3" x14ac:dyDescent="0.2">
      <c r="A17" s="70"/>
      <c r="B17" s="57"/>
      <c r="C17" s="71"/>
    </row>
    <row r="18" spans="1:3" x14ac:dyDescent="0.2">
      <c r="A18" s="70"/>
      <c r="B18" s="57"/>
      <c r="C18" s="71"/>
    </row>
    <row r="19" spans="1:3" ht="13.5" thickBot="1" x14ac:dyDescent="0.25">
      <c r="A19" s="59"/>
      <c r="B19" s="13"/>
      <c r="C19" s="14"/>
    </row>
    <row r="20" spans="1:3" ht="13.5" thickBot="1" x14ac:dyDescent="0.25">
      <c r="A20" s="2"/>
      <c r="C20" s="4"/>
    </row>
    <row r="21" spans="1:3" x14ac:dyDescent="0.2">
      <c r="A21" s="10"/>
      <c r="B21" s="112" t="s">
        <v>24</v>
      </c>
      <c r="C21" s="113">
        <f>SUM(C22:C23)</f>
        <v>0</v>
      </c>
    </row>
    <row r="22" spans="1:3" x14ac:dyDescent="0.2">
      <c r="A22" s="70"/>
      <c r="B22" s="57"/>
      <c r="C22" s="69"/>
    </row>
    <row r="23" spans="1:3" ht="13.5" thickBot="1" x14ac:dyDescent="0.25">
      <c r="A23" s="59"/>
      <c r="B23" s="18"/>
      <c r="C23" s="14"/>
    </row>
    <row r="24" spans="1:3" ht="13.5" thickBot="1" x14ac:dyDescent="0.25">
      <c r="A24" s="2"/>
      <c r="C24" s="4"/>
    </row>
    <row r="25" spans="1:3" x14ac:dyDescent="0.2">
      <c r="A25" s="10"/>
      <c r="B25" s="112" t="s">
        <v>25</v>
      </c>
      <c r="C25" s="113">
        <f>SUM(C26:C30)</f>
        <v>63719.8</v>
      </c>
    </row>
    <row r="26" spans="1:3" x14ac:dyDescent="0.2">
      <c r="A26" s="70">
        <v>45175</v>
      </c>
      <c r="B26" s="57" t="s">
        <v>419</v>
      </c>
      <c r="C26" s="71">
        <f>90+150</f>
        <v>240</v>
      </c>
    </row>
    <row r="27" spans="1:3" x14ac:dyDescent="0.2">
      <c r="A27" s="70">
        <v>45173</v>
      </c>
      <c r="B27" s="57" t="s">
        <v>449</v>
      </c>
      <c r="C27" s="71">
        <v>3645</v>
      </c>
    </row>
    <row r="28" spans="1:3" x14ac:dyDescent="0.2">
      <c r="A28" s="70">
        <v>45173</v>
      </c>
      <c r="B28" s="57" t="s">
        <v>463</v>
      </c>
      <c r="C28" s="71">
        <f>8065.28+12969.11+12612.3+5097.11+4910+1823+14358</f>
        <v>59834.8</v>
      </c>
    </row>
    <row r="29" spans="1:3" x14ac:dyDescent="0.2">
      <c r="A29" s="70"/>
      <c r="B29" s="57"/>
      <c r="C29" s="71"/>
    </row>
    <row r="30" spans="1:3" ht="13.5" thickBot="1" x14ac:dyDescent="0.25">
      <c r="A30" s="12"/>
      <c r="B30" s="13"/>
      <c r="C30" s="14"/>
    </row>
    <row r="31" spans="1:3" ht="13.5" thickBot="1" x14ac:dyDescent="0.25">
      <c r="A31" s="2"/>
      <c r="C31" s="4"/>
    </row>
    <row r="32" spans="1:3" x14ac:dyDescent="0.2">
      <c r="A32" s="10"/>
      <c r="B32" s="112" t="s">
        <v>19</v>
      </c>
      <c r="C32" s="113">
        <f>SUM(C33:C37)</f>
        <v>1841.04</v>
      </c>
    </row>
    <row r="33" spans="1:3" x14ac:dyDescent="0.2">
      <c r="A33" s="70">
        <v>45175</v>
      </c>
      <c r="B33" s="57" t="s">
        <v>420</v>
      </c>
      <c r="C33" s="71">
        <f>909.43+150.01</f>
        <v>1059.44</v>
      </c>
    </row>
    <row r="34" spans="1:3" x14ac:dyDescent="0.2">
      <c r="A34" s="70">
        <v>45183</v>
      </c>
      <c r="B34" s="57" t="s">
        <v>426</v>
      </c>
      <c r="C34" s="71">
        <f>781.6</f>
        <v>781.6</v>
      </c>
    </row>
    <row r="35" spans="1:3" x14ac:dyDescent="0.2">
      <c r="A35" s="70"/>
      <c r="B35" s="57"/>
      <c r="C35" s="71"/>
    </row>
    <row r="36" spans="1:3" x14ac:dyDescent="0.2">
      <c r="A36" s="70"/>
      <c r="B36" s="57"/>
      <c r="C36" s="71"/>
    </row>
    <row r="37" spans="1:3" ht="13.5" thickBot="1" x14ac:dyDescent="0.25">
      <c r="A37" s="59"/>
      <c r="B37" s="13"/>
      <c r="C37" s="14"/>
    </row>
    <row r="38" spans="1:3" ht="13.5" thickBot="1" x14ac:dyDescent="0.25">
      <c r="A38" s="2"/>
      <c r="C38" s="4"/>
    </row>
    <row r="39" spans="1:3" x14ac:dyDescent="0.2">
      <c r="A39" s="10"/>
      <c r="B39" s="112" t="s">
        <v>58</v>
      </c>
      <c r="C39" s="113">
        <f>SUM(C40:C46)</f>
        <v>12456.5</v>
      </c>
    </row>
    <row r="40" spans="1:3" x14ac:dyDescent="0.2">
      <c r="A40" s="70">
        <v>45175</v>
      </c>
      <c r="B40" s="57" t="s">
        <v>417</v>
      </c>
      <c r="C40" s="69">
        <f>2819</f>
        <v>2819</v>
      </c>
    </row>
    <row r="41" spans="1:3" x14ac:dyDescent="0.2">
      <c r="A41" s="70">
        <v>45183</v>
      </c>
      <c r="B41" s="57" t="s">
        <v>425</v>
      </c>
      <c r="C41" s="69">
        <f>1594</f>
        <v>1594</v>
      </c>
    </row>
    <row r="42" spans="1:3" x14ac:dyDescent="0.2">
      <c r="A42" s="70">
        <v>45181</v>
      </c>
      <c r="B42" s="57" t="s">
        <v>467</v>
      </c>
      <c r="C42" s="69">
        <f>8043.5</f>
        <v>8043.5</v>
      </c>
    </row>
    <row r="43" spans="1:3" x14ac:dyDescent="0.2">
      <c r="A43" s="70"/>
      <c r="B43" s="57"/>
      <c r="C43" s="69"/>
    </row>
    <row r="44" spans="1:3" x14ac:dyDescent="0.2">
      <c r="A44" s="70"/>
      <c r="B44" s="57"/>
      <c r="C44" s="69"/>
    </row>
    <row r="45" spans="1:3" x14ac:dyDescent="0.2">
      <c r="A45" s="70"/>
      <c r="B45" s="57"/>
      <c r="C45" s="69"/>
    </row>
    <row r="46" spans="1:3" ht="13.5" thickBot="1" x14ac:dyDescent="0.25">
      <c r="A46" s="12"/>
      <c r="B46" s="61"/>
      <c r="C46" s="14"/>
    </row>
    <row r="47" spans="1:3" ht="13.5" thickBot="1" x14ac:dyDescent="0.25">
      <c r="A47" s="2"/>
    </row>
    <row r="48" spans="1:3" x14ac:dyDescent="0.2">
      <c r="A48" s="10"/>
      <c r="B48" s="112" t="s">
        <v>55</v>
      </c>
      <c r="C48" s="113">
        <f>SUM(C49:C55)</f>
        <v>18992.82</v>
      </c>
    </row>
    <row r="49" spans="1:3" x14ac:dyDescent="0.2">
      <c r="A49" s="70">
        <v>45175</v>
      </c>
      <c r="B49" s="57" t="s">
        <v>421</v>
      </c>
      <c r="C49" s="69">
        <f>3119.99+1125+283.52</f>
        <v>4528.51</v>
      </c>
    </row>
    <row r="50" spans="1:3" x14ac:dyDescent="0.2">
      <c r="A50" s="70">
        <v>45183</v>
      </c>
      <c r="B50" s="57" t="s">
        <v>424</v>
      </c>
      <c r="C50" s="69">
        <f>2080+34.56+833.22+62.38</f>
        <v>3010.16</v>
      </c>
    </row>
    <row r="51" spans="1:3" x14ac:dyDescent="0.2">
      <c r="A51" s="70">
        <v>45176</v>
      </c>
      <c r="B51" s="57" t="s">
        <v>432</v>
      </c>
      <c r="C51" s="69">
        <v>8654.15</v>
      </c>
    </row>
    <row r="52" spans="1:3" x14ac:dyDescent="0.2">
      <c r="A52" s="70">
        <v>45195</v>
      </c>
      <c r="B52" s="57" t="s">
        <v>442</v>
      </c>
      <c r="C52" s="69">
        <f>2800</f>
        <v>2800</v>
      </c>
    </row>
    <row r="53" spans="1:3" x14ac:dyDescent="0.2">
      <c r="A53" s="70"/>
      <c r="B53" s="57"/>
      <c r="C53" s="69"/>
    </row>
    <row r="54" spans="1:3" x14ac:dyDescent="0.2">
      <c r="A54" s="70"/>
      <c r="B54" s="57"/>
      <c r="C54" s="69"/>
    </row>
    <row r="55" spans="1:3" ht="13.5" thickBot="1" x14ac:dyDescent="0.25">
      <c r="A55" s="59"/>
      <c r="B55" s="58"/>
      <c r="C55" s="14"/>
    </row>
    <row r="56" spans="1:3" ht="13.5" thickBot="1" x14ac:dyDescent="0.25">
      <c r="A56" s="21"/>
      <c r="B56" s="57"/>
      <c r="C56" s="29"/>
    </row>
    <row r="57" spans="1:3" x14ac:dyDescent="0.2">
      <c r="A57" s="10"/>
      <c r="B57" s="112" t="s">
        <v>56</v>
      </c>
      <c r="C57" s="113">
        <f>SUM(C58:C62)</f>
        <v>22166.375999999997</v>
      </c>
    </row>
    <row r="58" spans="1:3" x14ac:dyDescent="0.2">
      <c r="A58" s="70">
        <v>45183</v>
      </c>
      <c r="B58" s="57" t="s">
        <v>444</v>
      </c>
      <c r="C58" s="71">
        <f>2162.7+4353.9+308.1</f>
        <v>6824.7</v>
      </c>
    </row>
    <row r="59" spans="1:3" x14ac:dyDescent="0.2">
      <c r="A59" s="70">
        <v>45195</v>
      </c>
      <c r="B59" s="57" t="s">
        <v>447</v>
      </c>
      <c r="C59" s="71">
        <f>1949.24+1088+323.51</f>
        <v>3360.75</v>
      </c>
    </row>
    <row r="60" spans="1:3" x14ac:dyDescent="0.2">
      <c r="A60" s="70">
        <v>45198</v>
      </c>
      <c r="B60" s="57" t="s">
        <v>459</v>
      </c>
      <c r="C60" s="71">
        <f>685.8*17.47</f>
        <v>11980.925999999998</v>
      </c>
    </row>
    <row r="61" spans="1:3" x14ac:dyDescent="0.2">
      <c r="A61" s="70"/>
      <c r="B61" s="57"/>
      <c r="C61" s="71"/>
    </row>
    <row r="62" spans="1:3" ht="13.5" thickBot="1" x14ac:dyDescent="0.25">
      <c r="A62" s="59"/>
      <c r="B62" s="58"/>
      <c r="C62" s="14"/>
    </row>
    <row r="63" spans="1:3" ht="13.5" thickBot="1" x14ac:dyDescent="0.25">
      <c r="A63" s="21"/>
      <c r="B63" s="57"/>
      <c r="C63" s="29"/>
    </row>
    <row r="64" spans="1:3" x14ac:dyDescent="0.2">
      <c r="A64" s="10"/>
      <c r="B64" s="112" t="s">
        <v>50</v>
      </c>
      <c r="C64" s="113">
        <f>SUM(C65:C67)</f>
        <v>0</v>
      </c>
    </row>
    <row r="65" spans="1:3" x14ac:dyDescent="0.2">
      <c r="A65" s="70"/>
      <c r="B65" s="57"/>
      <c r="C65" s="71"/>
    </row>
    <row r="66" spans="1:3" x14ac:dyDescent="0.2">
      <c r="A66" s="70"/>
      <c r="B66" s="57"/>
      <c r="C66" s="71"/>
    </row>
    <row r="67" spans="1:3" ht="13.5" thickBot="1" x14ac:dyDescent="0.25">
      <c r="A67" s="59"/>
      <c r="B67" s="58"/>
      <c r="C67" s="14"/>
    </row>
    <row r="68" spans="1:3" ht="13.5" thickBot="1" x14ac:dyDescent="0.25">
      <c r="A68" s="2"/>
    </row>
    <row r="69" spans="1:3" x14ac:dyDescent="0.2">
      <c r="A69" s="10"/>
      <c r="B69" s="112" t="s">
        <v>28</v>
      </c>
      <c r="C69" s="113">
        <f>SUM(C70:C74)</f>
        <v>44296.216</v>
      </c>
    </row>
    <row r="70" spans="1:3" x14ac:dyDescent="0.2">
      <c r="A70" s="70">
        <v>45183</v>
      </c>
      <c r="B70" s="57" t="s">
        <v>427</v>
      </c>
      <c r="C70" s="69">
        <f>3652.81</f>
        <v>3652.81</v>
      </c>
    </row>
    <row r="71" spans="1:3" x14ac:dyDescent="0.2">
      <c r="A71" s="70">
        <v>45182</v>
      </c>
      <c r="B71" s="57" t="s">
        <v>431</v>
      </c>
      <c r="C71" s="69">
        <f>1127.52*17.55</f>
        <v>19787.975999999999</v>
      </c>
    </row>
    <row r="72" spans="1:3" x14ac:dyDescent="0.2">
      <c r="A72" s="70">
        <v>45177</v>
      </c>
      <c r="B72" s="57" t="s">
        <v>460</v>
      </c>
      <c r="C72" s="69">
        <v>15605.34</v>
      </c>
    </row>
    <row r="73" spans="1:3" x14ac:dyDescent="0.2">
      <c r="A73" s="70">
        <v>45177</v>
      </c>
      <c r="B73" s="57" t="s">
        <v>461</v>
      </c>
      <c r="C73" s="69">
        <v>5250.09</v>
      </c>
    </row>
    <row r="74" spans="1:3" ht="13.5" thickBot="1" x14ac:dyDescent="0.25">
      <c r="A74" s="59"/>
      <c r="B74" s="13"/>
      <c r="C74" s="14"/>
    </row>
    <row r="75" spans="1:3" ht="13.5" thickBot="1" x14ac:dyDescent="0.25">
      <c r="A75" s="2"/>
    </row>
    <row r="76" spans="1:3" x14ac:dyDescent="0.2">
      <c r="A76" s="10"/>
      <c r="B76" s="112" t="s">
        <v>57</v>
      </c>
      <c r="C76" s="113">
        <f>C77</f>
        <v>0</v>
      </c>
    </row>
    <row r="77" spans="1:3" ht="13.5" thickBot="1" x14ac:dyDescent="0.25">
      <c r="A77" s="59"/>
      <c r="B77" s="58"/>
      <c r="C77" s="14"/>
    </row>
    <row r="78" spans="1:3" ht="13.5" thickBot="1" x14ac:dyDescent="0.25">
      <c r="A78" s="2"/>
    </row>
    <row r="79" spans="1:3" x14ac:dyDescent="0.2">
      <c r="A79" s="10"/>
      <c r="B79" s="112" t="s">
        <v>27</v>
      </c>
      <c r="C79" s="113">
        <f>SUM(C80:C84)</f>
        <v>6272.9500000000007</v>
      </c>
    </row>
    <row r="80" spans="1:3" x14ac:dyDescent="0.2">
      <c r="A80" s="70">
        <v>45175</v>
      </c>
      <c r="B80" s="57" t="s">
        <v>422</v>
      </c>
      <c r="C80" s="69">
        <f>1508+132.21+190.87</f>
        <v>1831.08</v>
      </c>
    </row>
    <row r="81" spans="1:3" x14ac:dyDescent="0.2">
      <c r="A81" s="70">
        <v>45183</v>
      </c>
      <c r="B81" s="57" t="s">
        <v>423</v>
      </c>
      <c r="C81" s="69">
        <f>115.6+197.6+1328+245.9</f>
        <v>1887.1000000000001</v>
      </c>
    </row>
    <row r="82" spans="1:3" x14ac:dyDescent="0.2">
      <c r="A82" s="70">
        <v>45195</v>
      </c>
      <c r="B82" s="57" t="s">
        <v>446</v>
      </c>
      <c r="C82" s="69">
        <f>895+240+427.99+89.42+565+88.36+249</f>
        <v>2554.77</v>
      </c>
    </row>
    <row r="83" spans="1:3" x14ac:dyDescent="0.2">
      <c r="A83" s="70"/>
      <c r="B83" s="57"/>
      <c r="C83" s="69"/>
    </row>
    <row r="84" spans="1:3" ht="13.5" thickBot="1" x14ac:dyDescent="0.25">
      <c r="A84" s="59"/>
      <c r="B84" s="13"/>
      <c r="C84" s="14"/>
    </row>
    <row r="85" spans="1:3" x14ac:dyDescent="0.2">
      <c r="A85" s="2"/>
      <c r="B85" s="7"/>
    </row>
    <row r="86" spans="1:3" ht="13.5" thickBot="1" x14ac:dyDescent="0.25">
      <c r="A86" s="9"/>
      <c r="B86" s="8"/>
      <c r="C86" s="8"/>
    </row>
    <row r="87" spans="1:3" ht="13.5" thickBot="1" x14ac:dyDescent="0.25">
      <c r="A87" s="114"/>
      <c r="B87" s="115" t="s">
        <v>29</v>
      </c>
      <c r="C87" s="116">
        <f>C88+C95+C100+C103+C106+C109+C115+C118+C122+C128+C133+C136+C139+C149+C155+C164+C170+C201</f>
        <v>903396.7</v>
      </c>
    </row>
    <row r="88" spans="1:3" x14ac:dyDescent="0.2">
      <c r="A88" s="10"/>
      <c r="B88" s="112" t="s">
        <v>26</v>
      </c>
      <c r="C88" s="113">
        <f>SUM(C89:C93)</f>
        <v>0</v>
      </c>
    </row>
    <row r="89" spans="1:3" x14ac:dyDescent="0.2">
      <c r="A89" s="70"/>
      <c r="B89" s="57"/>
      <c r="C89" s="69"/>
    </row>
    <row r="90" spans="1:3" x14ac:dyDescent="0.2">
      <c r="A90" s="70"/>
      <c r="B90" s="57"/>
      <c r="C90" s="69"/>
    </row>
    <row r="91" spans="1:3" x14ac:dyDescent="0.2">
      <c r="A91" s="70"/>
      <c r="B91" s="57"/>
      <c r="C91" s="69"/>
    </row>
    <row r="92" spans="1:3" x14ac:dyDescent="0.2">
      <c r="A92" s="70"/>
      <c r="B92" s="57"/>
      <c r="C92" s="69"/>
    </row>
    <row r="93" spans="1:3" ht="13.5" thickBot="1" x14ac:dyDescent="0.25">
      <c r="A93" s="12"/>
      <c r="B93" s="13"/>
      <c r="C93" s="14"/>
    </row>
    <row r="94" spans="1:3" ht="13.5" thickBot="1" x14ac:dyDescent="0.25">
      <c r="A94" s="2"/>
      <c r="C94" s="4"/>
    </row>
    <row r="95" spans="1:3" x14ac:dyDescent="0.2">
      <c r="A95" s="10"/>
      <c r="B95" s="112" t="s">
        <v>53</v>
      </c>
      <c r="C95" s="113">
        <f>SUM(C96:C98)</f>
        <v>0</v>
      </c>
    </row>
    <row r="96" spans="1:3" x14ac:dyDescent="0.2">
      <c r="A96" s="70"/>
      <c r="B96" s="57"/>
      <c r="C96" s="71"/>
    </row>
    <row r="97" spans="1:3" x14ac:dyDescent="0.2">
      <c r="A97" s="70"/>
      <c r="B97" s="57"/>
      <c r="C97" s="71"/>
    </row>
    <row r="98" spans="1:3" ht="13.5" thickBot="1" x14ac:dyDescent="0.25">
      <c r="A98" s="12"/>
      <c r="B98" s="61"/>
      <c r="C98" s="14"/>
    </row>
    <row r="99" spans="1:3" ht="13.5" thickBot="1" x14ac:dyDescent="0.25">
      <c r="A99" s="21"/>
      <c r="B99" s="60"/>
      <c r="C99" s="29"/>
    </row>
    <row r="100" spans="1:3" x14ac:dyDescent="0.2">
      <c r="A100" s="10"/>
      <c r="B100" s="112" t="s">
        <v>51</v>
      </c>
      <c r="C100" s="113">
        <f>SUM(C101)</f>
        <v>0</v>
      </c>
    </row>
    <row r="101" spans="1:3" ht="13.5" thickBot="1" x14ac:dyDescent="0.25">
      <c r="A101" s="59"/>
      <c r="B101" s="58"/>
      <c r="C101" s="14"/>
    </row>
    <row r="102" spans="1:3" ht="13.5" thickBot="1" x14ac:dyDescent="0.25">
      <c r="A102" s="21"/>
      <c r="B102" s="60"/>
      <c r="C102" s="29"/>
    </row>
    <row r="103" spans="1:3" x14ac:dyDescent="0.2">
      <c r="A103" s="10"/>
      <c r="B103" s="112" t="s">
        <v>49</v>
      </c>
      <c r="C103" s="113">
        <f>C104</f>
        <v>0</v>
      </c>
    </row>
    <row r="104" spans="1:3" ht="13.5" thickBot="1" x14ac:dyDescent="0.25">
      <c r="A104" s="59"/>
      <c r="B104" s="58"/>
      <c r="C104" s="14"/>
    </row>
    <row r="105" spans="1:3" ht="13.5" thickBot="1" x14ac:dyDescent="0.25">
      <c r="A105" s="107"/>
      <c r="B105" s="57"/>
      <c r="C105" s="29"/>
    </row>
    <row r="106" spans="1:3" x14ac:dyDescent="0.2">
      <c r="A106" s="10"/>
      <c r="B106" s="112" t="s">
        <v>75</v>
      </c>
      <c r="C106" s="113">
        <f>SUM(C107)</f>
        <v>0</v>
      </c>
    </row>
    <row r="107" spans="1:3" ht="13.5" thickBot="1" x14ac:dyDescent="0.25">
      <c r="A107" s="59"/>
      <c r="B107" s="58"/>
      <c r="C107" s="14"/>
    </row>
    <row r="108" spans="1:3" ht="13.5" thickBot="1" x14ac:dyDescent="0.25">
      <c r="A108" s="2"/>
    </row>
    <row r="109" spans="1:3" x14ac:dyDescent="0.2">
      <c r="A109" s="10"/>
      <c r="B109" s="112" t="s">
        <v>77</v>
      </c>
      <c r="C109" s="113">
        <f>SUM(C110:C113)</f>
        <v>422036.29000000004</v>
      </c>
    </row>
    <row r="110" spans="1:3" x14ac:dyDescent="0.2">
      <c r="A110" s="70">
        <v>45196</v>
      </c>
      <c r="B110" s="57" t="s">
        <v>484</v>
      </c>
      <c r="C110" s="71">
        <v>276554.51</v>
      </c>
    </row>
    <row r="111" spans="1:3" x14ac:dyDescent="0.2">
      <c r="A111" s="70">
        <v>45196</v>
      </c>
      <c r="B111" s="57" t="s">
        <v>485</v>
      </c>
      <c r="C111" s="71">
        <v>145481.78</v>
      </c>
    </row>
    <row r="112" spans="1:3" x14ac:dyDescent="0.2">
      <c r="A112" s="70"/>
      <c r="B112" s="57"/>
      <c r="C112" s="71"/>
    </row>
    <row r="113" spans="1:3" ht="13.5" thickBot="1" x14ac:dyDescent="0.25">
      <c r="A113" s="59"/>
      <c r="B113" s="13"/>
      <c r="C113" s="14"/>
    </row>
    <row r="114" spans="1:3" ht="13.5" thickBot="1" x14ac:dyDescent="0.25">
      <c r="A114" s="2"/>
      <c r="C114" s="1"/>
    </row>
    <row r="115" spans="1:3" x14ac:dyDescent="0.2">
      <c r="A115" s="10"/>
      <c r="B115" s="112" t="s">
        <v>78</v>
      </c>
      <c r="C115" s="113">
        <f>C116</f>
        <v>201205.5</v>
      </c>
    </row>
    <row r="116" spans="1:3" ht="13.5" thickBot="1" x14ac:dyDescent="0.25">
      <c r="A116" s="59">
        <v>45180</v>
      </c>
      <c r="B116" s="18" t="s">
        <v>429</v>
      </c>
      <c r="C116" s="14">
        <v>201205.5</v>
      </c>
    </row>
    <row r="117" spans="1:3" ht="13.5" thickBot="1" x14ac:dyDescent="0.25">
      <c r="A117" s="2"/>
      <c r="C117" s="4"/>
    </row>
    <row r="118" spans="1:3" x14ac:dyDescent="0.2">
      <c r="A118" s="10"/>
      <c r="B118" s="112" t="s">
        <v>30</v>
      </c>
      <c r="C118" s="113">
        <f>SUM(C119:C120)</f>
        <v>17400</v>
      </c>
    </row>
    <row r="119" spans="1:3" x14ac:dyDescent="0.2">
      <c r="A119" s="70">
        <v>45181</v>
      </c>
      <c r="B119" s="57" t="s">
        <v>466</v>
      </c>
      <c r="C119" s="71">
        <f>5800+5800+5800</f>
        <v>17400</v>
      </c>
    </row>
    <row r="120" spans="1:3" ht="13.5" thickBot="1" x14ac:dyDescent="0.25">
      <c r="A120" s="59"/>
      <c r="B120" s="13"/>
      <c r="C120" s="14"/>
    </row>
    <row r="121" spans="1:3" ht="13.5" thickBot="1" x14ac:dyDescent="0.25">
      <c r="A121" s="2"/>
      <c r="C121" s="4"/>
    </row>
    <row r="122" spans="1:3" x14ac:dyDescent="0.2">
      <c r="A122" s="10"/>
      <c r="B122" s="112" t="s">
        <v>18</v>
      </c>
      <c r="C122" s="113">
        <f>SUM(C123:C126)</f>
        <v>0</v>
      </c>
    </row>
    <row r="123" spans="1:3" x14ac:dyDescent="0.2">
      <c r="A123" s="70"/>
      <c r="B123" s="57"/>
      <c r="C123" s="71"/>
    </row>
    <row r="124" spans="1:3" x14ac:dyDescent="0.2">
      <c r="A124" s="70"/>
      <c r="B124" s="57"/>
      <c r="C124" s="71"/>
    </row>
    <row r="125" spans="1:3" x14ac:dyDescent="0.2">
      <c r="A125" s="82"/>
      <c r="B125" s="60"/>
      <c r="C125" s="71"/>
    </row>
    <row r="126" spans="1:3" ht="13.5" thickBot="1" x14ac:dyDescent="0.25">
      <c r="A126" s="12"/>
      <c r="B126" s="13"/>
      <c r="C126" s="14"/>
    </row>
    <row r="127" spans="1:3" ht="13.5" thickBot="1" x14ac:dyDescent="0.25">
      <c r="A127" s="2"/>
      <c r="C127" s="1"/>
    </row>
    <row r="128" spans="1:3" x14ac:dyDescent="0.2">
      <c r="A128" s="10"/>
      <c r="B128" s="112" t="s">
        <v>31</v>
      </c>
      <c r="C128" s="113">
        <f>SUM(C129:C131)</f>
        <v>24635.9</v>
      </c>
    </row>
    <row r="129" spans="1:3" x14ac:dyDescent="0.2">
      <c r="A129" s="70">
        <v>45197</v>
      </c>
      <c r="B129" s="57" t="s">
        <v>482</v>
      </c>
      <c r="C129" s="71">
        <v>5400</v>
      </c>
    </row>
    <row r="130" spans="1:3" x14ac:dyDescent="0.2">
      <c r="A130" s="70">
        <v>45197</v>
      </c>
      <c r="B130" s="57" t="s">
        <v>483</v>
      </c>
      <c r="C130" s="71">
        <v>19235.900000000001</v>
      </c>
    </row>
    <row r="131" spans="1:3" ht="13.5" thickBot="1" x14ac:dyDescent="0.25">
      <c r="A131" s="95"/>
      <c r="B131" s="18"/>
      <c r="C131" s="14"/>
    </row>
    <row r="132" spans="1:3" ht="13.5" thickBot="1" x14ac:dyDescent="0.25">
      <c r="A132" s="5"/>
      <c r="C132" s="1"/>
    </row>
    <row r="133" spans="1:3" x14ac:dyDescent="0.2">
      <c r="A133" s="10"/>
      <c r="B133" s="112" t="s">
        <v>32</v>
      </c>
      <c r="C133" s="113">
        <f>C134</f>
        <v>0</v>
      </c>
    </row>
    <row r="134" spans="1:3" ht="13.5" thickBot="1" x14ac:dyDescent="0.25">
      <c r="A134" s="59"/>
      <c r="B134" s="58"/>
      <c r="C134" s="14"/>
    </row>
    <row r="135" spans="1:3" ht="13.5" thickBot="1" x14ac:dyDescent="0.25">
      <c r="A135" s="2"/>
    </row>
    <row r="136" spans="1:3" x14ac:dyDescent="0.2">
      <c r="A136" s="10"/>
      <c r="B136" s="112" t="s">
        <v>33</v>
      </c>
      <c r="C136" s="113">
        <f>C137</f>
        <v>0</v>
      </c>
    </row>
    <row r="137" spans="1:3" ht="13.5" thickBot="1" x14ac:dyDescent="0.25">
      <c r="A137" s="59"/>
      <c r="B137" s="58"/>
      <c r="C137" s="14"/>
    </row>
    <row r="138" spans="1:3" ht="13.5" thickBot="1" x14ac:dyDescent="0.25">
      <c r="A138" s="2"/>
    </row>
    <row r="139" spans="1:3" x14ac:dyDescent="0.2">
      <c r="A139" s="10"/>
      <c r="B139" s="112" t="s">
        <v>34</v>
      </c>
      <c r="C139" s="113">
        <f>SUM(C140:C147)</f>
        <v>2565.9499999999998</v>
      </c>
    </row>
    <row r="140" spans="1:3" x14ac:dyDescent="0.2">
      <c r="A140" s="84">
        <v>45183</v>
      </c>
      <c r="B140" s="91" t="s">
        <v>428</v>
      </c>
      <c r="C140" s="69">
        <v>429.97</v>
      </c>
    </row>
    <row r="141" spans="1:3" x14ac:dyDescent="0.2">
      <c r="A141" s="70">
        <v>45195</v>
      </c>
      <c r="B141" s="57" t="s">
        <v>486</v>
      </c>
      <c r="C141" s="71">
        <f>55*18</f>
        <v>990</v>
      </c>
    </row>
    <row r="142" spans="1:3" x14ac:dyDescent="0.2">
      <c r="A142" s="70">
        <v>45183</v>
      </c>
      <c r="B142" s="57" t="s">
        <v>598</v>
      </c>
      <c r="C142" s="71">
        <v>1145.98</v>
      </c>
    </row>
    <row r="143" spans="1:3" x14ac:dyDescent="0.2">
      <c r="A143" s="70"/>
      <c r="B143" s="57"/>
      <c r="C143" s="71"/>
    </row>
    <row r="144" spans="1:3" x14ac:dyDescent="0.2">
      <c r="A144" s="70"/>
      <c r="B144" s="57"/>
      <c r="C144" s="71"/>
    </row>
    <row r="145" spans="1:3" x14ac:dyDescent="0.2">
      <c r="A145" s="70"/>
      <c r="B145" s="57"/>
      <c r="C145" s="71"/>
    </row>
    <row r="146" spans="1:3" x14ac:dyDescent="0.2">
      <c r="A146" s="70"/>
      <c r="B146" s="57"/>
      <c r="C146" s="71"/>
    </row>
    <row r="147" spans="1:3" ht="13.5" thickBot="1" x14ac:dyDescent="0.25">
      <c r="A147" s="59"/>
      <c r="B147" s="13"/>
      <c r="C147" s="14"/>
    </row>
    <row r="148" spans="1:3" ht="13.5" thickBot="1" x14ac:dyDescent="0.25">
      <c r="A148" s="2"/>
      <c r="C148" s="1"/>
    </row>
    <row r="149" spans="1:3" x14ac:dyDescent="0.2">
      <c r="A149" s="10"/>
      <c r="B149" s="112" t="s">
        <v>35</v>
      </c>
      <c r="C149" s="113">
        <f>SUM(C150:C153)</f>
        <v>5844.78</v>
      </c>
    </row>
    <row r="150" spans="1:3" x14ac:dyDescent="0.2">
      <c r="A150" s="84">
        <v>45198</v>
      </c>
      <c r="B150" s="57" t="s">
        <v>589</v>
      </c>
      <c r="C150" s="69">
        <v>800</v>
      </c>
    </row>
    <row r="151" spans="1:3" x14ac:dyDescent="0.2">
      <c r="A151" s="84">
        <v>45189</v>
      </c>
      <c r="B151" s="57" t="s">
        <v>590</v>
      </c>
      <c r="C151" s="69">
        <v>1450.36</v>
      </c>
    </row>
    <row r="152" spans="1:3" x14ac:dyDescent="0.2">
      <c r="A152" s="84">
        <v>45189</v>
      </c>
      <c r="B152" s="57" t="s">
        <v>591</v>
      </c>
      <c r="C152" s="69">
        <v>1300</v>
      </c>
    </row>
    <row r="153" spans="1:3" ht="13.5" thickBot="1" x14ac:dyDescent="0.25">
      <c r="A153" s="59">
        <v>45198</v>
      </c>
      <c r="B153" s="13" t="s">
        <v>588</v>
      </c>
      <c r="C153" s="14">
        <v>2294.42</v>
      </c>
    </row>
    <row r="154" spans="1:3" ht="13.5" thickBot="1" x14ac:dyDescent="0.25">
      <c r="A154" s="2"/>
      <c r="C154" s="1"/>
    </row>
    <row r="155" spans="1:3" x14ac:dyDescent="0.2">
      <c r="A155" s="10"/>
      <c r="B155" s="112" t="s">
        <v>37</v>
      </c>
      <c r="C155" s="113">
        <f>SUM(C156:C162)</f>
        <v>31126.37</v>
      </c>
    </row>
    <row r="156" spans="1:3" x14ac:dyDescent="0.2">
      <c r="A156" s="70">
        <v>45189</v>
      </c>
      <c r="B156" s="57" t="s">
        <v>430</v>
      </c>
      <c r="C156" s="71">
        <v>4485.24</v>
      </c>
    </row>
    <row r="157" spans="1:3" x14ac:dyDescent="0.2">
      <c r="A157" s="70">
        <v>45195</v>
      </c>
      <c r="B157" s="57" t="s">
        <v>448</v>
      </c>
      <c r="C157" s="71">
        <f>368+368</f>
        <v>736</v>
      </c>
    </row>
    <row r="158" spans="1:3" x14ac:dyDescent="0.2">
      <c r="A158" s="70">
        <v>45181</v>
      </c>
      <c r="B158" s="57" t="s">
        <v>465</v>
      </c>
      <c r="C158" s="71">
        <f>908+1816+908+9521</f>
        <v>13153</v>
      </c>
    </row>
    <row r="159" spans="1:3" x14ac:dyDescent="0.2">
      <c r="A159" s="70">
        <v>45195</v>
      </c>
      <c r="B159" s="57" t="s">
        <v>487</v>
      </c>
      <c r="C159" s="71">
        <v>219.05</v>
      </c>
    </row>
    <row r="160" spans="1:3" x14ac:dyDescent="0.2">
      <c r="A160" s="70">
        <v>45191</v>
      </c>
      <c r="B160" s="57" t="s">
        <v>488</v>
      </c>
      <c r="C160" s="71">
        <f>505.76*18</f>
        <v>9103.68</v>
      </c>
    </row>
    <row r="161" spans="1:3" x14ac:dyDescent="0.2">
      <c r="A161" s="70">
        <v>45190</v>
      </c>
      <c r="B161" s="57" t="s">
        <v>616</v>
      </c>
      <c r="C161" s="71">
        <v>3429.4</v>
      </c>
    </row>
    <row r="162" spans="1:3" ht="13.5" thickBot="1" x14ac:dyDescent="0.25">
      <c r="A162" s="59"/>
      <c r="B162" s="18"/>
      <c r="C162" s="14"/>
    </row>
    <row r="163" spans="1:3" ht="13.5" thickBot="1" x14ac:dyDescent="0.25">
      <c r="A163" s="21"/>
      <c r="B163" s="11"/>
      <c r="C163" s="29"/>
    </row>
    <row r="164" spans="1:3" x14ac:dyDescent="0.2">
      <c r="A164" s="10"/>
      <c r="B164" s="112" t="s">
        <v>54</v>
      </c>
      <c r="C164" s="113">
        <f>SUM(C165:C168)</f>
        <v>15875.35</v>
      </c>
    </row>
    <row r="165" spans="1:3" x14ac:dyDescent="0.2">
      <c r="A165" s="70">
        <v>45181</v>
      </c>
      <c r="B165" s="57" t="s">
        <v>464</v>
      </c>
      <c r="C165" s="69">
        <v>7899.09</v>
      </c>
    </row>
    <row r="166" spans="1:3" x14ac:dyDescent="0.2">
      <c r="A166" s="70">
        <v>45190</v>
      </c>
      <c r="B166" s="57" t="s">
        <v>615</v>
      </c>
      <c r="C166" s="69">
        <v>7976.26</v>
      </c>
    </row>
    <row r="167" spans="1:3" x14ac:dyDescent="0.2">
      <c r="A167" s="70"/>
      <c r="B167" s="57"/>
      <c r="C167" s="69"/>
    </row>
    <row r="168" spans="1:3" ht="13.5" thickBot="1" x14ac:dyDescent="0.25">
      <c r="A168" s="12"/>
      <c r="B168" s="61"/>
      <c r="C168" s="14"/>
    </row>
    <row r="169" spans="1:3" ht="13.5" thickBot="1" x14ac:dyDescent="0.25">
      <c r="A169" s="26"/>
      <c r="B169" s="57"/>
      <c r="C169" s="29"/>
    </row>
    <row r="170" spans="1:3" x14ac:dyDescent="0.2">
      <c r="A170" s="23"/>
      <c r="B170" s="112" t="s">
        <v>38</v>
      </c>
      <c r="C170" s="113">
        <f>SUM(C171:C199)</f>
        <v>179578.56</v>
      </c>
    </row>
    <row r="171" spans="1:3" x14ac:dyDescent="0.2">
      <c r="A171" s="96" t="s">
        <v>489</v>
      </c>
      <c r="B171" s="57" t="s">
        <v>522</v>
      </c>
      <c r="C171" s="69">
        <f>14117</f>
        <v>14117</v>
      </c>
    </row>
    <row r="172" spans="1:3" x14ac:dyDescent="0.2">
      <c r="A172" s="96" t="s">
        <v>489</v>
      </c>
      <c r="B172" s="57" t="s">
        <v>523</v>
      </c>
      <c r="C172" s="69">
        <v>6105</v>
      </c>
    </row>
    <row r="173" spans="1:3" x14ac:dyDescent="0.2">
      <c r="A173" s="96" t="s">
        <v>501</v>
      </c>
      <c r="B173" s="57" t="s">
        <v>502</v>
      </c>
      <c r="C173" s="69">
        <v>7708</v>
      </c>
    </row>
    <row r="174" spans="1:3" x14ac:dyDescent="0.2">
      <c r="A174" s="96" t="s">
        <v>501</v>
      </c>
      <c r="B174" s="57" t="s">
        <v>503</v>
      </c>
      <c r="C174" s="69">
        <f>592+513</f>
        <v>1105</v>
      </c>
    </row>
    <row r="175" spans="1:3" x14ac:dyDescent="0.2">
      <c r="A175" s="96" t="s">
        <v>501</v>
      </c>
      <c r="B175" s="57" t="s">
        <v>504</v>
      </c>
      <c r="C175" s="69">
        <v>7708</v>
      </c>
    </row>
    <row r="176" spans="1:3" x14ac:dyDescent="0.2">
      <c r="A176" s="96" t="s">
        <v>501</v>
      </c>
      <c r="B176" s="57" t="s">
        <v>505</v>
      </c>
      <c r="C176" s="69">
        <f>592+723.51</f>
        <v>1315.51</v>
      </c>
    </row>
    <row r="177" spans="1:3" x14ac:dyDescent="0.2">
      <c r="A177" s="96" t="s">
        <v>501</v>
      </c>
      <c r="B177" s="57" t="s">
        <v>506</v>
      </c>
      <c r="C177" s="69">
        <v>7708</v>
      </c>
    </row>
    <row r="178" spans="1:3" x14ac:dyDescent="0.2">
      <c r="A178" s="96" t="s">
        <v>501</v>
      </c>
      <c r="B178" s="57" t="s">
        <v>507</v>
      </c>
      <c r="C178" s="69">
        <v>1104</v>
      </c>
    </row>
    <row r="179" spans="1:3" x14ac:dyDescent="0.2">
      <c r="A179" s="96" t="s">
        <v>501</v>
      </c>
      <c r="B179" s="57" t="s">
        <v>508</v>
      </c>
      <c r="C179" s="69">
        <v>7708</v>
      </c>
    </row>
    <row r="180" spans="1:3" x14ac:dyDescent="0.2">
      <c r="A180" s="96" t="s">
        <v>501</v>
      </c>
      <c r="B180" s="57" t="s">
        <v>509</v>
      </c>
      <c r="C180" s="69">
        <v>1105</v>
      </c>
    </row>
    <row r="181" spans="1:3" x14ac:dyDescent="0.2">
      <c r="A181" s="96" t="s">
        <v>501</v>
      </c>
      <c r="B181" s="57" t="s">
        <v>510</v>
      </c>
      <c r="C181" s="69">
        <v>8858</v>
      </c>
    </row>
    <row r="182" spans="1:3" x14ac:dyDescent="0.2">
      <c r="A182" s="96" t="s">
        <v>501</v>
      </c>
      <c r="B182" s="57" t="s">
        <v>511</v>
      </c>
      <c r="C182" s="69">
        <v>1105</v>
      </c>
    </row>
    <row r="183" spans="1:3" x14ac:dyDescent="0.2">
      <c r="A183" s="96" t="s">
        <v>512</v>
      </c>
      <c r="B183" s="57" t="s">
        <v>513</v>
      </c>
      <c r="C183" s="69">
        <v>300</v>
      </c>
    </row>
    <row r="184" spans="1:3" x14ac:dyDescent="0.2">
      <c r="A184" s="96" t="s">
        <v>514</v>
      </c>
      <c r="B184" s="57" t="s">
        <v>515</v>
      </c>
      <c r="C184" s="69">
        <v>15333</v>
      </c>
    </row>
    <row r="185" spans="1:3" x14ac:dyDescent="0.2">
      <c r="A185" s="96" t="s">
        <v>514</v>
      </c>
      <c r="B185" s="57" t="s">
        <v>516</v>
      </c>
      <c r="C185" s="69">
        <v>38725.120000000003</v>
      </c>
    </row>
    <row r="186" spans="1:3" x14ac:dyDescent="0.2">
      <c r="A186" s="96" t="s">
        <v>517</v>
      </c>
      <c r="B186" s="57" t="s">
        <v>518</v>
      </c>
      <c r="C186" s="69">
        <v>11872</v>
      </c>
    </row>
    <row r="187" spans="1:3" x14ac:dyDescent="0.2">
      <c r="A187" s="96" t="s">
        <v>517</v>
      </c>
      <c r="B187" s="57" t="s">
        <v>519</v>
      </c>
      <c r="C187" s="69">
        <f>1624+967</f>
        <v>2591</v>
      </c>
    </row>
    <row r="188" spans="1:3" x14ac:dyDescent="0.2">
      <c r="A188" s="96" t="s">
        <v>517</v>
      </c>
      <c r="B188" s="57" t="s">
        <v>520</v>
      </c>
      <c r="C188" s="69">
        <v>11872</v>
      </c>
    </row>
    <row r="189" spans="1:3" x14ac:dyDescent="0.2">
      <c r="A189" s="96" t="s">
        <v>517</v>
      </c>
      <c r="B189" s="57" t="s">
        <v>521</v>
      </c>
      <c r="C189" s="69">
        <v>2650</v>
      </c>
    </row>
    <row r="190" spans="1:3" x14ac:dyDescent="0.2">
      <c r="A190" s="96" t="s">
        <v>517</v>
      </c>
      <c r="B190" s="57" t="s">
        <v>524</v>
      </c>
      <c r="C190" s="69">
        <v>13372</v>
      </c>
    </row>
    <row r="191" spans="1:3" x14ac:dyDescent="0.2">
      <c r="A191" s="96" t="s">
        <v>517</v>
      </c>
      <c r="B191" s="57" t="s">
        <v>525</v>
      </c>
      <c r="C191" s="69">
        <f>1184+1026</f>
        <v>2210</v>
      </c>
    </row>
    <row r="192" spans="1:3" x14ac:dyDescent="0.2">
      <c r="A192" s="96" t="s">
        <v>526</v>
      </c>
      <c r="B192" s="57" t="s">
        <v>527</v>
      </c>
      <c r="C192" s="69">
        <v>11872</v>
      </c>
    </row>
    <row r="193" spans="1:3" x14ac:dyDescent="0.2">
      <c r="A193" s="96" t="s">
        <v>526</v>
      </c>
      <c r="B193" s="57" t="s">
        <v>528</v>
      </c>
      <c r="C193" s="69">
        <f>1184+997</f>
        <v>2181</v>
      </c>
    </row>
    <row r="194" spans="1:3" x14ac:dyDescent="0.2">
      <c r="A194" s="96" t="s">
        <v>529</v>
      </c>
      <c r="B194" s="57" t="s">
        <v>530</v>
      </c>
      <c r="C194" s="69">
        <f>300</f>
        <v>300</v>
      </c>
    </row>
    <row r="195" spans="1:3" x14ac:dyDescent="0.2">
      <c r="A195" s="96" t="s">
        <v>529</v>
      </c>
      <c r="B195" s="57" t="s">
        <v>531</v>
      </c>
      <c r="C195" s="69">
        <v>300</v>
      </c>
    </row>
    <row r="196" spans="1:3" x14ac:dyDescent="0.2">
      <c r="A196" s="73" t="s">
        <v>613</v>
      </c>
      <c r="B196" s="57" t="s">
        <v>614</v>
      </c>
      <c r="C196" s="69">
        <v>353.93</v>
      </c>
    </row>
    <row r="197" spans="1:3" x14ac:dyDescent="0.2">
      <c r="A197" s="73"/>
      <c r="B197" s="57"/>
      <c r="C197" s="69"/>
    </row>
    <row r="198" spans="1:3" x14ac:dyDescent="0.2">
      <c r="A198" s="73"/>
      <c r="B198" s="57"/>
      <c r="C198" s="69"/>
    </row>
    <row r="199" spans="1:3" ht="13.5" thickBot="1" x14ac:dyDescent="0.25">
      <c r="A199" s="24"/>
      <c r="B199" s="58"/>
      <c r="C199" s="14"/>
    </row>
    <row r="200" spans="1:3" ht="13.5" thickBot="1" x14ac:dyDescent="0.25">
      <c r="A200" s="26"/>
      <c r="B200" s="57"/>
      <c r="C200" s="29"/>
    </row>
    <row r="201" spans="1:3" x14ac:dyDescent="0.2">
      <c r="A201" s="10"/>
      <c r="B201" s="112" t="s">
        <v>27</v>
      </c>
      <c r="C201" s="113">
        <f>SUM(C202:C208)</f>
        <v>3128</v>
      </c>
    </row>
    <row r="202" spans="1:3" x14ac:dyDescent="0.2">
      <c r="A202" s="70">
        <v>45175</v>
      </c>
      <c r="B202" s="57" t="s">
        <v>443</v>
      </c>
      <c r="C202" s="69">
        <f>324</f>
        <v>324</v>
      </c>
    </row>
    <row r="203" spans="1:3" x14ac:dyDescent="0.2">
      <c r="A203" s="70">
        <v>45195</v>
      </c>
      <c r="B203" s="57" t="s">
        <v>445</v>
      </c>
      <c r="C203" s="69">
        <f>1508+1296</f>
        <v>2804</v>
      </c>
    </row>
    <row r="204" spans="1:3" x14ac:dyDescent="0.2">
      <c r="A204" s="70"/>
      <c r="B204" s="57"/>
      <c r="C204" s="69"/>
    </row>
    <row r="205" spans="1:3" x14ac:dyDescent="0.2">
      <c r="A205" s="70"/>
      <c r="B205" s="57"/>
      <c r="C205" s="69"/>
    </row>
    <row r="206" spans="1:3" x14ac:dyDescent="0.2">
      <c r="A206" s="70"/>
      <c r="B206" s="57"/>
      <c r="C206" s="69"/>
    </row>
    <row r="207" spans="1:3" x14ac:dyDescent="0.2">
      <c r="A207" s="70"/>
      <c r="B207" s="57"/>
      <c r="C207" s="69"/>
    </row>
    <row r="208" spans="1:3" ht="13.5" thickBot="1" x14ac:dyDescent="0.25">
      <c r="A208" s="12"/>
      <c r="B208" s="13"/>
      <c r="C208" s="14"/>
    </row>
    <row r="209" spans="1:3" x14ac:dyDescent="0.2">
      <c r="A209" s="2"/>
    </row>
    <row r="210" spans="1:3" ht="13.5" thickBot="1" x14ac:dyDescent="0.25">
      <c r="A210" s="28"/>
      <c r="B210" s="8"/>
      <c r="C210" s="8"/>
    </row>
    <row r="211" spans="1:3" ht="13.5" thickBot="1" x14ac:dyDescent="0.25">
      <c r="A211" s="118"/>
      <c r="B211" s="119" t="s">
        <v>0</v>
      </c>
      <c r="C211" s="120">
        <f>SUM(C212:C213)</f>
        <v>0</v>
      </c>
    </row>
    <row r="212" spans="1:3" x14ac:dyDescent="0.2">
      <c r="A212" s="23"/>
      <c r="B212" s="126"/>
      <c r="C212" s="127"/>
    </row>
    <row r="213" spans="1:3" x14ac:dyDescent="0.2">
      <c r="A213" s="73"/>
      <c r="B213" s="11"/>
      <c r="C213" s="81"/>
    </row>
    <row r="214" spans="1:3" ht="13.5" thickBot="1" x14ac:dyDescent="0.25">
      <c r="A214" s="24"/>
      <c r="B214" s="13"/>
      <c r="C214" s="76"/>
    </row>
    <row r="216" spans="1:3" x14ac:dyDescent="0.2">
      <c r="A216"/>
    </row>
    <row r="217" spans="1:3" x14ac:dyDescent="0.2">
      <c r="A217"/>
    </row>
    <row r="218" spans="1:3" x14ac:dyDescent="0.2">
      <c r="A218"/>
    </row>
    <row r="219" spans="1:3" x14ac:dyDescent="0.2">
      <c r="A219"/>
    </row>
    <row r="220" spans="1:3" x14ac:dyDescent="0.2">
      <c r="A220"/>
    </row>
    <row r="221" spans="1:3" x14ac:dyDescent="0.2">
      <c r="A221"/>
    </row>
    <row r="222" spans="1:3" x14ac:dyDescent="0.2">
      <c r="A222"/>
    </row>
    <row r="223" spans="1:3" x14ac:dyDescent="0.2">
      <c r="A223"/>
    </row>
    <row r="224" spans="1:3" x14ac:dyDescent="0.2">
      <c r="A224"/>
    </row>
    <row r="225" spans="1:1" x14ac:dyDescent="0.2">
      <c r="A225"/>
    </row>
    <row r="226" spans="1:1" x14ac:dyDescent="0.2">
      <c r="A226"/>
    </row>
    <row r="227" spans="1:1" x14ac:dyDescent="0.2">
      <c r="A227"/>
    </row>
    <row r="228" spans="1:1" x14ac:dyDescent="0.2">
      <c r="A228"/>
    </row>
    <row r="229" spans="1:1" x14ac:dyDescent="0.2">
      <c r="A229" s="25"/>
    </row>
    <row r="230" spans="1:1" x14ac:dyDescent="0.2">
      <c r="A230" s="25"/>
    </row>
    <row r="231" spans="1:1" x14ac:dyDescent="0.2">
      <c r="A231" s="25"/>
    </row>
    <row r="232" spans="1:1" x14ac:dyDescent="0.2">
      <c r="A232" s="25"/>
    </row>
    <row r="233" spans="1:1" x14ac:dyDescent="0.2">
      <c r="A233" s="25"/>
    </row>
    <row r="234" spans="1:1" x14ac:dyDescent="0.2">
      <c r="A234" s="25"/>
    </row>
  </sheetData>
  <mergeCells count="1">
    <mergeCell ref="A2:B2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320"/>
  <sheetViews>
    <sheetView topLeftCell="A166" workbookViewId="0">
      <selection activeCell="C189" sqref="C189"/>
    </sheetView>
  </sheetViews>
  <sheetFormatPr defaultRowHeight="12.75" x14ac:dyDescent="0.2"/>
  <cols>
    <col min="1" max="1" width="9.140625" style="22"/>
    <col min="2" max="2" width="84.28515625" customWidth="1"/>
    <col min="3" max="3" width="18.42578125" customWidth="1"/>
  </cols>
  <sheetData>
    <row r="1" spans="1:3" ht="13.5" thickBot="1" x14ac:dyDescent="0.25">
      <c r="A1"/>
    </row>
    <row r="2" spans="1:3" ht="13.5" thickBot="1" x14ac:dyDescent="0.25">
      <c r="A2" s="147" t="s">
        <v>71</v>
      </c>
      <c r="B2" s="148"/>
      <c r="C2" s="20">
        <f>C4+C94</f>
        <v>3105954.7892</v>
      </c>
    </row>
    <row r="3" spans="1:3" ht="13.5" thickBot="1" x14ac:dyDescent="0.25">
      <c r="A3" s="16" t="s">
        <v>20</v>
      </c>
      <c r="B3" s="15" t="s">
        <v>21</v>
      </c>
      <c r="C3" s="17" t="s">
        <v>22</v>
      </c>
    </row>
    <row r="4" spans="1:3" ht="13.5" thickBot="1" x14ac:dyDescent="0.25">
      <c r="A4" s="114"/>
      <c r="B4" s="115" t="s">
        <v>23</v>
      </c>
      <c r="C4" s="116">
        <f>C5+C9+C16+C22+C25+C36+C42+C51+C62+C68+C73+C77+C82</f>
        <v>308434.75999999995</v>
      </c>
    </row>
    <row r="5" spans="1:3" x14ac:dyDescent="0.2">
      <c r="A5" s="10"/>
      <c r="B5" s="112" t="s">
        <v>36</v>
      </c>
      <c r="C5" s="113">
        <f>SUM(C6:C7)</f>
        <v>0</v>
      </c>
    </row>
    <row r="6" spans="1:3" x14ac:dyDescent="0.2">
      <c r="A6" s="70"/>
      <c r="B6" s="57"/>
      <c r="C6" s="71"/>
    </row>
    <row r="7" spans="1:3" ht="13.5" thickBot="1" x14ac:dyDescent="0.25">
      <c r="A7" s="59"/>
      <c r="B7" s="13"/>
      <c r="C7" s="14"/>
    </row>
    <row r="8" spans="1:3" ht="13.5" thickBot="1" x14ac:dyDescent="0.25">
      <c r="A8" s="21"/>
      <c r="B8" s="11"/>
      <c r="C8" s="29"/>
    </row>
    <row r="9" spans="1:3" x14ac:dyDescent="0.2">
      <c r="A9" s="10"/>
      <c r="B9" s="112" t="s">
        <v>47</v>
      </c>
      <c r="C9" s="113">
        <f>SUM(C10:C14)</f>
        <v>2400</v>
      </c>
    </row>
    <row r="10" spans="1:3" x14ac:dyDescent="0.2">
      <c r="A10" s="70">
        <v>45218</v>
      </c>
      <c r="B10" s="57" t="s">
        <v>603</v>
      </c>
      <c r="C10" s="69">
        <v>2400</v>
      </c>
    </row>
    <row r="11" spans="1:3" x14ac:dyDescent="0.2">
      <c r="A11" s="70"/>
      <c r="B11" s="57"/>
      <c r="C11" s="69"/>
    </row>
    <row r="12" spans="1:3" x14ac:dyDescent="0.2">
      <c r="A12" s="70"/>
      <c r="B12" s="57"/>
      <c r="C12" s="69"/>
    </row>
    <row r="13" spans="1:3" x14ac:dyDescent="0.2">
      <c r="A13" s="70"/>
      <c r="B13" s="57"/>
      <c r="C13" s="69"/>
    </row>
    <row r="14" spans="1:3" ht="13.5" thickBot="1" x14ac:dyDescent="0.25">
      <c r="A14" s="12"/>
      <c r="B14" s="13"/>
      <c r="C14" s="14"/>
    </row>
    <row r="15" spans="1:3" ht="13.5" thickBot="1" x14ac:dyDescent="0.25">
      <c r="A15" s="21"/>
      <c r="B15" s="11"/>
      <c r="C15" s="29"/>
    </row>
    <row r="16" spans="1:3" x14ac:dyDescent="0.2">
      <c r="A16" s="10"/>
      <c r="B16" s="112" t="s">
        <v>48</v>
      </c>
      <c r="C16" s="113">
        <f>SUM(C17:C20)</f>
        <v>4406.53</v>
      </c>
    </row>
    <row r="17" spans="1:3" x14ac:dyDescent="0.2">
      <c r="A17" s="70">
        <v>45205</v>
      </c>
      <c r="B17" s="57" t="s">
        <v>436</v>
      </c>
      <c r="C17" s="71">
        <v>1579.96</v>
      </c>
    </row>
    <row r="18" spans="1:3" x14ac:dyDescent="0.2">
      <c r="A18" s="70">
        <v>45218</v>
      </c>
      <c r="B18" s="57" t="s">
        <v>607</v>
      </c>
      <c r="C18" s="71">
        <f>1626.47+1200.1</f>
        <v>2826.5699999999997</v>
      </c>
    </row>
    <row r="19" spans="1:3" x14ac:dyDescent="0.2">
      <c r="A19" s="70"/>
      <c r="B19" s="57"/>
      <c r="C19" s="71"/>
    </row>
    <row r="20" spans="1:3" ht="13.5" thickBot="1" x14ac:dyDescent="0.25">
      <c r="A20" s="59"/>
      <c r="B20" s="13"/>
      <c r="C20" s="14"/>
    </row>
    <row r="21" spans="1:3" ht="13.5" thickBot="1" x14ac:dyDescent="0.25">
      <c r="A21" s="2"/>
      <c r="C21" s="4"/>
    </row>
    <row r="22" spans="1:3" x14ac:dyDescent="0.2">
      <c r="A22" s="10"/>
      <c r="B22" s="112" t="s">
        <v>24</v>
      </c>
      <c r="C22" s="113">
        <f>C23</f>
        <v>0</v>
      </c>
    </row>
    <row r="23" spans="1:3" ht="13.5" thickBot="1" x14ac:dyDescent="0.25">
      <c r="A23" s="59"/>
      <c r="B23" s="13"/>
      <c r="C23" s="14"/>
    </row>
    <row r="24" spans="1:3" ht="13.5" thickBot="1" x14ac:dyDescent="0.25">
      <c r="A24" s="2"/>
      <c r="C24" s="4"/>
    </row>
    <row r="25" spans="1:3" x14ac:dyDescent="0.2">
      <c r="A25" s="10"/>
      <c r="B25" s="112" t="s">
        <v>25</v>
      </c>
      <c r="C25" s="113">
        <f>SUM(C26:C34)</f>
        <v>91953.739999999991</v>
      </c>
    </row>
    <row r="26" spans="1:3" x14ac:dyDescent="0.2">
      <c r="A26" s="70">
        <v>45205</v>
      </c>
      <c r="B26" s="57" t="s">
        <v>435</v>
      </c>
      <c r="C26" s="69">
        <v>150</v>
      </c>
    </row>
    <row r="27" spans="1:3" x14ac:dyDescent="0.2">
      <c r="A27" s="70">
        <v>45203</v>
      </c>
      <c r="B27" s="57" t="s">
        <v>462</v>
      </c>
      <c r="C27" s="69">
        <f>352.2+500.19+6755.43+2647.2+1525+6684.4+154.78+307.25</f>
        <v>18926.449999999997</v>
      </c>
    </row>
    <row r="28" spans="1:3" x14ac:dyDescent="0.2">
      <c r="A28" s="70">
        <v>45230</v>
      </c>
      <c r="B28" s="57" t="s">
        <v>628</v>
      </c>
      <c r="C28" s="69">
        <v>72877.289999999994</v>
      </c>
    </row>
    <row r="29" spans="1:3" x14ac:dyDescent="0.2">
      <c r="A29" s="70"/>
      <c r="B29" s="57"/>
      <c r="C29" s="69"/>
    </row>
    <row r="30" spans="1:3" x14ac:dyDescent="0.2">
      <c r="A30" s="70"/>
      <c r="B30" s="57"/>
      <c r="C30" s="69"/>
    </row>
    <row r="31" spans="1:3" x14ac:dyDescent="0.2">
      <c r="A31" s="70"/>
      <c r="B31" s="57"/>
      <c r="C31" s="69"/>
    </row>
    <row r="32" spans="1:3" x14ac:dyDescent="0.2">
      <c r="A32" s="70"/>
      <c r="B32" s="57"/>
      <c r="C32" s="69"/>
    </row>
    <row r="33" spans="1:3" x14ac:dyDescent="0.2">
      <c r="A33" s="70"/>
      <c r="B33" s="57"/>
      <c r="C33" s="69"/>
    </row>
    <row r="34" spans="1:3" ht="13.5" thickBot="1" x14ac:dyDescent="0.25">
      <c r="A34" s="12"/>
      <c r="B34" s="13"/>
      <c r="C34" s="14"/>
    </row>
    <row r="35" spans="1:3" ht="13.5" thickBot="1" x14ac:dyDescent="0.25">
      <c r="A35" s="2"/>
      <c r="C35" s="4"/>
    </row>
    <row r="36" spans="1:3" x14ac:dyDescent="0.2">
      <c r="A36" s="10"/>
      <c r="B36" s="112" t="s">
        <v>19</v>
      </c>
      <c r="C36" s="113">
        <f>SUM(C37:C40)</f>
        <v>559</v>
      </c>
    </row>
    <row r="37" spans="1:3" x14ac:dyDescent="0.2">
      <c r="A37" s="70">
        <v>45218</v>
      </c>
      <c r="B37" s="57" t="s">
        <v>606</v>
      </c>
      <c r="C37" s="69">
        <v>559</v>
      </c>
    </row>
    <row r="38" spans="1:3" x14ac:dyDescent="0.2">
      <c r="A38" s="70"/>
      <c r="B38" s="57"/>
      <c r="C38" s="69"/>
    </row>
    <row r="39" spans="1:3" x14ac:dyDescent="0.2">
      <c r="A39" s="70"/>
      <c r="B39" s="57"/>
      <c r="C39" s="69"/>
    </row>
    <row r="40" spans="1:3" ht="13.5" thickBot="1" x14ac:dyDescent="0.25">
      <c r="A40" s="12"/>
      <c r="B40" s="13"/>
      <c r="C40" s="14"/>
    </row>
    <row r="41" spans="1:3" ht="13.5" thickBot="1" x14ac:dyDescent="0.25">
      <c r="A41" s="2"/>
      <c r="C41" s="4"/>
    </row>
    <row r="42" spans="1:3" x14ac:dyDescent="0.2">
      <c r="A42" s="10"/>
      <c r="B42" s="112" t="s">
        <v>58</v>
      </c>
      <c r="C42" s="113">
        <f>SUM(C43:C49)</f>
        <v>0</v>
      </c>
    </row>
    <row r="43" spans="1:3" x14ac:dyDescent="0.2">
      <c r="A43" s="70"/>
      <c r="B43" s="11"/>
      <c r="C43" s="81"/>
    </row>
    <row r="44" spans="1:3" x14ac:dyDescent="0.2">
      <c r="A44" s="70"/>
      <c r="B44" s="106"/>
      <c r="C44" s="81"/>
    </row>
    <row r="45" spans="1:3" x14ac:dyDescent="0.2">
      <c r="A45" s="70"/>
      <c r="B45" s="57"/>
      <c r="C45" s="81"/>
    </row>
    <row r="46" spans="1:3" x14ac:dyDescent="0.2">
      <c r="A46" s="70"/>
      <c r="B46" s="57"/>
      <c r="C46" s="81"/>
    </row>
    <row r="47" spans="1:3" x14ac:dyDescent="0.2">
      <c r="A47" s="70"/>
      <c r="B47" s="57"/>
      <c r="C47" s="81"/>
    </row>
    <row r="48" spans="1:3" x14ac:dyDescent="0.2">
      <c r="A48" s="70"/>
      <c r="B48" s="57"/>
      <c r="C48" s="81"/>
    </row>
    <row r="49" spans="1:3" ht="13.5" thickBot="1" x14ac:dyDescent="0.25">
      <c r="A49" s="59"/>
      <c r="B49" s="58"/>
      <c r="C49" s="14"/>
    </row>
    <row r="50" spans="1:3" ht="13.5" thickBot="1" x14ac:dyDescent="0.25">
      <c r="A50" s="2"/>
    </row>
    <row r="51" spans="1:3" x14ac:dyDescent="0.2">
      <c r="A51" s="10"/>
      <c r="B51" s="112" t="s">
        <v>55</v>
      </c>
      <c r="C51" s="113">
        <f>SUM(C52:C60)</f>
        <v>192458.00999999998</v>
      </c>
    </row>
    <row r="52" spans="1:3" x14ac:dyDescent="0.2">
      <c r="A52" s="70">
        <v>45210</v>
      </c>
      <c r="B52" s="57" t="s">
        <v>610</v>
      </c>
      <c r="C52" s="69">
        <v>189000.93</v>
      </c>
    </row>
    <row r="53" spans="1:3" x14ac:dyDescent="0.2">
      <c r="A53" s="70">
        <v>45218</v>
      </c>
      <c r="B53" s="57" t="s">
        <v>609</v>
      </c>
      <c r="C53" s="69">
        <f>3417.08+40</f>
        <v>3457.08</v>
      </c>
    </row>
    <row r="54" spans="1:3" x14ac:dyDescent="0.2">
      <c r="A54" s="70"/>
      <c r="B54" s="57"/>
      <c r="C54" s="69"/>
    </row>
    <row r="55" spans="1:3" x14ac:dyDescent="0.2">
      <c r="A55" s="70"/>
      <c r="B55" s="57"/>
      <c r="C55" s="69"/>
    </row>
    <row r="56" spans="1:3" x14ac:dyDescent="0.2">
      <c r="A56" s="70"/>
      <c r="B56" s="57"/>
      <c r="C56" s="69"/>
    </row>
    <row r="57" spans="1:3" x14ac:dyDescent="0.2">
      <c r="A57" s="70"/>
      <c r="B57" s="57"/>
      <c r="C57" s="69"/>
    </row>
    <row r="58" spans="1:3" x14ac:dyDescent="0.2">
      <c r="A58" s="70"/>
      <c r="B58" s="57"/>
      <c r="C58" s="69"/>
    </row>
    <row r="59" spans="1:3" x14ac:dyDescent="0.2">
      <c r="A59" s="70"/>
      <c r="B59" s="57"/>
      <c r="C59" s="69"/>
    </row>
    <row r="60" spans="1:3" ht="13.5" thickBot="1" x14ac:dyDescent="0.25">
      <c r="A60" s="12"/>
      <c r="B60" s="58"/>
      <c r="C60" s="14"/>
    </row>
    <row r="61" spans="1:3" ht="13.5" thickBot="1" x14ac:dyDescent="0.25">
      <c r="A61" s="21"/>
      <c r="B61" s="57"/>
      <c r="C61" s="29"/>
    </row>
    <row r="62" spans="1:3" x14ac:dyDescent="0.2">
      <c r="A62" s="10"/>
      <c r="B62" s="112" t="s">
        <v>56</v>
      </c>
      <c r="C62" s="113">
        <f>SUM(C63:C65)</f>
        <v>11342.05</v>
      </c>
    </row>
    <row r="63" spans="1:3" x14ac:dyDescent="0.2">
      <c r="A63" s="70">
        <v>45205</v>
      </c>
      <c r="B63" s="57" t="s">
        <v>434</v>
      </c>
      <c r="C63" s="71">
        <f>2117.14+1282.39+795+539.88+378</f>
        <v>5112.41</v>
      </c>
    </row>
    <row r="64" spans="1:3" x14ac:dyDescent="0.2">
      <c r="A64" s="70">
        <v>45218</v>
      </c>
      <c r="B64" s="57" t="s">
        <v>604</v>
      </c>
      <c r="C64" s="71">
        <f>396+1324+1713.8+1102.89+211.05+1271+210.9</f>
        <v>6229.64</v>
      </c>
    </row>
    <row r="65" spans="1:3" x14ac:dyDescent="0.2">
      <c r="A65" s="70"/>
      <c r="B65" s="57"/>
      <c r="C65" s="71"/>
    </row>
    <row r="66" spans="1:3" ht="13.5" thickBot="1" x14ac:dyDescent="0.25">
      <c r="A66" s="59"/>
      <c r="B66" s="58"/>
      <c r="C66" s="14"/>
    </row>
    <row r="67" spans="1:3" ht="13.5" thickBot="1" x14ac:dyDescent="0.25">
      <c r="A67" s="21"/>
      <c r="B67" s="57"/>
      <c r="C67" s="29"/>
    </row>
    <row r="68" spans="1:3" x14ac:dyDescent="0.2">
      <c r="A68" s="10"/>
      <c r="B68" s="112" t="s">
        <v>41</v>
      </c>
      <c r="C68" s="113">
        <f>SUM(C69:C71)</f>
        <v>0</v>
      </c>
    </row>
    <row r="69" spans="1:3" x14ac:dyDescent="0.2">
      <c r="A69" s="84"/>
      <c r="B69" s="57"/>
      <c r="C69" s="69"/>
    </row>
    <row r="70" spans="1:3" x14ac:dyDescent="0.2">
      <c r="A70" s="84"/>
      <c r="B70" s="57"/>
      <c r="C70" s="69"/>
    </row>
    <row r="71" spans="1:3" ht="13.5" thickBot="1" x14ac:dyDescent="0.25">
      <c r="A71" s="12"/>
      <c r="B71" s="58"/>
      <c r="C71" s="14"/>
    </row>
    <row r="72" spans="1:3" ht="13.5" thickBot="1" x14ac:dyDescent="0.25">
      <c r="A72" s="2"/>
    </row>
    <row r="73" spans="1:3" x14ac:dyDescent="0.2">
      <c r="A73" s="10"/>
      <c r="B73" s="112" t="s">
        <v>28</v>
      </c>
      <c r="C73" s="113">
        <f>C75</f>
        <v>0</v>
      </c>
    </row>
    <row r="74" spans="1:3" x14ac:dyDescent="0.2">
      <c r="A74" s="70"/>
      <c r="B74" s="57"/>
      <c r="C74" s="71"/>
    </row>
    <row r="75" spans="1:3" ht="13.5" thickBot="1" x14ac:dyDescent="0.25">
      <c r="A75" s="59"/>
      <c r="B75" s="18"/>
      <c r="C75" s="14"/>
    </row>
    <row r="76" spans="1:3" ht="13.5" thickBot="1" x14ac:dyDescent="0.25">
      <c r="A76" s="2"/>
    </row>
    <row r="77" spans="1:3" x14ac:dyDescent="0.2">
      <c r="A77" s="10"/>
      <c r="B77" s="112" t="s">
        <v>57</v>
      </c>
      <c r="C77" s="113">
        <f>SUM(C78:C80)</f>
        <v>0</v>
      </c>
    </row>
    <row r="78" spans="1:3" x14ac:dyDescent="0.2">
      <c r="A78" s="70"/>
      <c r="B78" s="57"/>
      <c r="C78" s="69"/>
    </row>
    <row r="79" spans="1:3" x14ac:dyDescent="0.2">
      <c r="A79" s="70"/>
      <c r="B79" s="57"/>
      <c r="C79" s="71"/>
    </row>
    <row r="80" spans="1:3" ht="13.5" thickBot="1" x14ac:dyDescent="0.25">
      <c r="A80" s="59"/>
      <c r="B80" s="58"/>
      <c r="C80" s="14"/>
    </row>
    <row r="81" spans="1:3" ht="13.5" thickBot="1" x14ac:dyDescent="0.25">
      <c r="A81" s="2"/>
    </row>
    <row r="82" spans="1:3" x14ac:dyDescent="0.2">
      <c r="A82" s="10"/>
      <c r="B82" s="112" t="s">
        <v>27</v>
      </c>
      <c r="C82" s="113">
        <f>SUM(C83:C91)</f>
        <v>5315.43</v>
      </c>
    </row>
    <row r="83" spans="1:3" x14ac:dyDescent="0.2">
      <c r="A83" s="70">
        <v>45205</v>
      </c>
      <c r="B83" s="57" t="s">
        <v>433</v>
      </c>
      <c r="C83" s="69">
        <f>3828+500+240</f>
        <v>4568</v>
      </c>
    </row>
    <row r="84" spans="1:3" x14ac:dyDescent="0.2">
      <c r="A84" s="70">
        <v>45218</v>
      </c>
      <c r="B84" s="57" t="s">
        <v>605</v>
      </c>
      <c r="C84" s="69">
        <f>747.43</f>
        <v>747.43</v>
      </c>
    </row>
    <row r="85" spans="1:3" x14ac:dyDescent="0.2">
      <c r="A85" s="70"/>
      <c r="B85" s="57"/>
      <c r="C85" s="69"/>
    </row>
    <row r="86" spans="1:3" x14ac:dyDescent="0.2">
      <c r="A86" s="70"/>
      <c r="B86" s="57"/>
      <c r="C86" s="69"/>
    </row>
    <row r="87" spans="1:3" x14ac:dyDescent="0.2">
      <c r="A87" s="70"/>
      <c r="B87" s="57"/>
      <c r="C87" s="69"/>
    </row>
    <row r="88" spans="1:3" x14ac:dyDescent="0.2">
      <c r="A88" s="70"/>
      <c r="B88" s="57"/>
      <c r="C88" s="69"/>
    </row>
    <row r="89" spans="1:3" x14ac:dyDescent="0.2">
      <c r="A89" s="70"/>
      <c r="B89" s="57"/>
      <c r="C89" s="69"/>
    </row>
    <row r="90" spans="1:3" x14ac:dyDescent="0.2">
      <c r="A90" s="70"/>
      <c r="B90" s="57"/>
      <c r="C90" s="69"/>
    </row>
    <row r="91" spans="1:3" ht="13.5" thickBot="1" x14ac:dyDescent="0.25">
      <c r="A91" s="12"/>
      <c r="B91" s="13"/>
      <c r="C91" s="14"/>
    </row>
    <row r="92" spans="1:3" x14ac:dyDescent="0.2">
      <c r="A92" s="2"/>
      <c r="B92" s="7"/>
    </row>
    <row r="93" spans="1:3" ht="13.5" thickBot="1" x14ac:dyDescent="0.25">
      <c r="A93" s="9"/>
      <c r="B93" s="8"/>
      <c r="C93" s="8"/>
    </row>
    <row r="94" spans="1:3" ht="13.5" thickBot="1" x14ac:dyDescent="0.25">
      <c r="A94" s="114"/>
      <c r="B94" s="115" t="s">
        <v>29</v>
      </c>
      <c r="C94" s="116">
        <f>C95+C102+C112+C115+C121+C124+C132+C139+C145+C150+C158+C161+C165+C174+C185+C197+C200+C255</f>
        <v>2797520.0292000002</v>
      </c>
    </row>
    <row r="95" spans="1:3" x14ac:dyDescent="0.2">
      <c r="A95" s="10"/>
      <c r="B95" s="112" t="s">
        <v>26</v>
      </c>
      <c r="C95" s="113">
        <f>SUM(C96:C100)</f>
        <v>299980</v>
      </c>
    </row>
    <row r="96" spans="1:3" x14ac:dyDescent="0.2">
      <c r="A96" s="70">
        <v>45205</v>
      </c>
      <c r="B96" s="57" t="s">
        <v>437</v>
      </c>
      <c r="C96" s="71">
        <f>4640</f>
        <v>4640</v>
      </c>
    </row>
    <row r="97" spans="1:3" x14ac:dyDescent="0.2">
      <c r="A97" s="70">
        <v>45218</v>
      </c>
      <c r="B97" s="57" t="s">
        <v>653</v>
      </c>
      <c r="C97" s="71">
        <v>288840</v>
      </c>
    </row>
    <row r="98" spans="1:3" x14ac:dyDescent="0.2">
      <c r="A98" s="70">
        <v>45218</v>
      </c>
      <c r="B98" s="57" t="s">
        <v>612</v>
      </c>
      <c r="C98" s="71">
        <v>6500</v>
      </c>
    </row>
    <row r="99" spans="1:3" x14ac:dyDescent="0.2">
      <c r="A99" s="70"/>
      <c r="B99" s="57"/>
      <c r="C99" s="71"/>
    </row>
    <row r="100" spans="1:3" ht="13.5" thickBot="1" x14ac:dyDescent="0.25">
      <c r="A100" s="12"/>
      <c r="B100" s="13"/>
      <c r="C100" s="14"/>
    </row>
    <row r="101" spans="1:3" ht="13.5" thickBot="1" x14ac:dyDescent="0.25">
      <c r="A101" s="2"/>
      <c r="C101" s="4"/>
    </row>
    <row r="102" spans="1:3" x14ac:dyDescent="0.2">
      <c r="A102" s="10"/>
      <c r="B102" s="112" t="s">
        <v>53</v>
      </c>
      <c r="C102" s="113">
        <f>SUM(C103:C110)</f>
        <v>0</v>
      </c>
    </row>
    <row r="103" spans="1:3" x14ac:dyDescent="0.2">
      <c r="A103" s="70"/>
      <c r="B103" s="57"/>
      <c r="C103" s="69"/>
    </row>
    <row r="104" spans="1:3" x14ac:dyDescent="0.2">
      <c r="A104" s="70"/>
      <c r="B104" s="57"/>
      <c r="C104" s="69"/>
    </row>
    <row r="105" spans="1:3" x14ac:dyDescent="0.2">
      <c r="A105" s="70"/>
      <c r="B105" s="57"/>
      <c r="C105" s="69"/>
    </row>
    <row r="106" spans="1:3" x14ac:dyDescent="0.2">
      <c r="A106" s="70"/>
      <c r="B106" s="57"/>
      <c r="C106" s="69"/>
    </row>
    <row r="107" spans="1:3" x14ac:dyDescent="0.2">
      <c r="A107" s="70"/>
      <c r="B107" s="57"/>
      <c r="C107" s="69"/>
    </row>
    <row r="108" spans="1:3" x14ac:dyDescent="0.2">
      <c r="A108" s="70"/>
      <c r="B108" s="57"/>
      <c r="C108" s="69"/>
    </row>
    <row r="109" spans="1:3" x14ac:dyDescent="0.2">
      <c r="A109" s="70"/>
      <c r="B109" s="57"/>
      <c r="C109" s="69"/>
    </row>
    <row r="110" spans="1:3" ht="13.5" thickBot="1" x14ac:dyDescent="0.25">
      <c r="A110" s="59"/>
      <c r="B110" s="58"/>
      <c r="C110" s="14"/>
    </row>
    <row r="111" spans="1:3" ht="13.5" thickBot="1" x14ac:dyDescent="0.25">
      <c r="A111" s="21"/>
      <c r="B111" s="60"/>
      <c r="C111" s="29"/>
    </row>
    <row r="112" spans="1:3" x14ac:dyDescent="0.2">
      <c r="A112" s="10"/>
      <c r="B112" s="112" t="s">
        <v>51</v>
      </c>
      <c r="C112" s="113">
        <f>SUM(C113)</f>
        <v>0</v>
      </c>
    </row>
    <row r="113" spans="1:3" ht="13.5" thickBot="1" x14ac:dyDescent="0.25">
      <c r="A113" s="59"/>
      <c r="B113" s="58"/>
      <c r="C113" s="14"/>
    </row>
    <row r="114" spans="1:3" ht="13.5" thickBot="1" x14ac:dyDescent="0.25">
      <c r="A114" s="21"/>
      <c r="B114" s="60"/>
      <c r="C114" s="29"/>
    </row>
    <row r="115" spans="1:3" x14ac:dyDescent="0.2">
      <c r="A115" s="10"/>
      <c r="B115" s="112" t="s">
        <v>49</v>
      </c>
      <c r="C115" s="113">
        <f>SUM(C116:C119)</f>
        <v>1890</v>
      </c>
    </row>
    <row r="116" spans="1:3" x14ac:dyDescent="0.2">
      <c r="A116" s="70">
        <v>45205</v>
      </c>
      <c r="B116" s="57" t="s">
        <v>438</v>
      </c>
      <c r="C116" s="69">
        <f>1890</f>
        <v>1890</v>
      </c>
    </row>
    <row r="117" spans="1:3" x14ac:dyDescent="0.2">
      <c r="A117" s="70"/>
      <c r="B117" s="57"/>
      <c r="C117" s="69"/>
    </row>
    <row r="118" spans="1:3" x14ac:dyDescent="0.2">
      <c r="A118" s="70"/>
      <c r="B118" s="57"/>
      <c r="C118" s="69"/>
    </row>
    <row r="119" spans="1:3" ht="13.5" thickBot="1" x14ac:dyDescent="0.25">
      <c r="A119" s="59"/>
      <c r="B119" s="58"/>
      <c r="C119" s="14"/>
    </row>
    <row r="120" spans="1:3" ht="13.5" thickBot="1" x14ac:dyDescent="0.25">
      <c r="A120" s="107"/>
      <c r="B120" s="57"/>
      <c r="C120" s="29"/>
    </row>
    <row r="121" spans="1:3" x14ac:dyDescent="0.2">
      <c r="A121" s="10"/>
      <c r="B121" s="112" t="s">
        <v>75</v>
      </c>
      <c r="C121" s="113">
        <f>SUM(C122)</f>
        <v>0</v>
      </c>
    </row>
    <row r="122" spans="1:3" ht="13.5" thickBot="1" x14ac:dyDescent="0.25">
      <c r="A122" s="59"/>
      <c r="B122" s="58"/>
      <c r="C122" s="14"/>
    </row>
    <row r="123" spans="1:3" ht="13.5" thickBot="1" x14ac:dyDescent="0.25">
      <c r="A123" s="2"/>
    </row>
    <row r="124" spans="1:3" x14ac:dyDescent="0.2">
      <c r="A124" s="10"/>
      <c r="B124" s="112" t="s">
        <v>77</v>
      </c>
      <c r="C124" s="113">
        <f>SUM(C125:C130)</f>
        <v>1202787.46</v>
      </c>
    </row>
    <row r="125" spans="1:3" x14ac:dyDescent="0.2">
      <c r="A125" s="70">
        <v>45208</v>
      </c>
      <c r="B125" s="57" t="s">
        <v>474</v>
      </c>
      <c r="C125" s="69">
        <v>276362.15999999997</v>
      </c>
    </row>
    <row r="126" spans="1:3" x14ac:dyDescent="0.2">
      <c r="A126" s="70">
        <v>45208</v>
      </c>
      <c r="B126" s="57" t="s">
        <v>475</v>
      </c>
      <c r="C126" s="69">
        <v>269407.96000000002</v>
      </c>
    </row>
    <row r="127" spans="1:3" x14ac:dyDescent="0.2">
      <c r="A127" s="70">
        <v>45208</v>
      </c>
      <c r="B127" s="57" t="s">
        <v>476</v>
      </c>
      <c r="C127" s="69">
        <v>276362.15999999997</v>
      </c>
    </row>
    <row r="128" spans="1:3" x14ac:dyDescent="0.2">
      <c r="A128" s="70">
        <v>45208</v>
      </c>
      <c r="B128" s="57" t="s">
        <v>477</v>
      </c>
      <c r="C128" s="69">
        <v>111247.23</v>
      </c>
    </row>
    <row r="129" spans="1:3" x14ac:dyDescent="0.2">
      <c r="A129" s="70">
        <v>45208</v>
      </c>
      <c r="B129" s="57" t="s">
        <v>621</v>
      </c>
      <c r="C129" s="69">
        <v>269407.95</v>
      </c>
    </row>
    <row r="130" spans="1:3" ht="13.5" thickBot="1" x14ac:dyDescent="0.25">
      <c r="A130" s="59"/>
      <c r="B130" s="13"/>
      <c r="C130" s="14"/>
    </row>
    <row r="131" spans="1:3" ht="13.5" thickBot="1" x14ac:dyDescent="0.25">
      <c r="A131" s="2"/>
      <c r="C131" s="1"/>
    </row>
    <row r="132" spans="1:3" x14ac:dyDescent="0.2">
      <c r="A132" s="10"/>
      <c r="B132" s="112" t="s">
        <v>78</v>
      </c>
      <c r="C132" s="113">
        <f>SUM(C133:C137)</f>
        <v>804821.95</v>
      </c>
    </row>
    <row r="133" spans="1:3" x14ac:dyDescent="0.2">
      <c r="A133" s="70">
        <v>45208</v>
      </c>
      <c r="B133" s="57" t="s">
        <v>478</v>
      </c>
      <c r="C133" s="71">
        <v>201205.48</v>
      </c>
    </row>
    <row r="134" spans="1:3" x14ac:dyDescent="0.2">
      <c r="A134" s="70">
        <v>45208</v>
      </c>
      <c r="B134" s="57" t="s">
        <v>479</v>
      </c>
      <c r="C134" s="71">
        <v>201205.48</v>
      </c>
    </row>
    <row r="135" spans="1:3" x14ac:dyDescent="0.2">
      <c r="A135" s="70">
        <v>45204</v>
      </c>
      <c r="B135" s="57" t="s">
        <v>481</v>
      </c>
      <c r="C135" s="71">
        <v>201205.51</v>
      </c>
    </row>
    <row r="136" spans="1:3" x14ac:dyDescent="0.2">
      <c r="A136" s="70">
        <v>45208</v>
      </c>
      <c r="B136" s="57" t="s">
        <v>622</v>
      </c>
      <c r="C136" s="71">
        <v>201205.48</v>
      </c>
    </row>
    <row r="137" spans="1:3" ht="13.5" thickBot="1" x14ac:dyDescent="0.25">
      <c r="A137" s="59"/>
      <c r="B137" s="18"/>
      <c r="C137" s="14"/>
    </row>
    <row r="138" spans="1:3" ht="13.5" thickBot="1" x14ac:dyDescent="0.25">
      <c r="A138" s="2"/>
      <c r="C138" s="4"/>
    </row>
    <row r="139" spans="1:3" x14ac:dyDescent="0.2">
      <c r="A139" s="10"/>
      <c r="B139" s="112" t="s">
        <v>30</v>
      </c>
      <c r="C139" s="113">
        <f>SUM(C140:C143)</f>
        <v>0</v>
      </c>
    </row>
    <row r="140" spans="1:3" x14ac:dyDescent="0.2">
      <c r="A140" s="70"/>
      <c r="B140" s="57"/>
      <c r="C140" s="69"/>
    </row>
    <row r="141" spans="1:3" x14ac:dyDescent="0.2">
      <c r="A141" s="70"/>
      <c r="B141" s="57"/>
      <c r="C141" s="69"/>
    </row>
    <row r="142" spans="1:3" x14ac:dyDescent="0.2">
      <c r="A142" s="70"/>
      <c r="B142" s="57"/>
      <c r="C142" s="69"/>
    </row>
    <row r="143" spans="1:3" ht="13.5" thickBot="1" x14ac:dyDescent="0.25">
      <c r="A143" s="12"/>
      <c r="B143" s="13"/>
      <c r="C143" s="14"/>
    </row>
    <row r="144" spans="1:3" ht="13.5" thickBot="1" x14ac:dyDescent="0.25">
      <c r="A144" s="2"/>
      <c r="C144" s="4"/>
    </row>
    <row r="145" spans="1:3" x14ac:dyDescent="0.2">
      <c r="A145" s="10"/>
      <c r="B145" s="112" t="s">
        <v>18</v>
      </c>
      <c r="C145" s="113">
        <f>SUM(C146:C148)</f>
        <v>2629</v>
      </c>
    </row>
    <row r="146" spans="1:3" x14ac:dyDescent="0.2">
      <c r="A146" s="70">
        <v>45218</v>
      </c>
      <c r="B146" s="57" t="s">
        <v>611</v>
      </c>
      <c r="C146" s="69">
        <v>2629</v>
      </c>
    </row>
    <row r="147" spans="1:3" x14ac:dyDescent="0.2">
      <c r="A147" s="70"/>
      <c r="B147" s="57"/>
      <c r="C147" s="69"/>
    </row>
    <row r="148" spans="1:3" ht="13.5" thickBot="1" x14ac:dyDescent="0.25">
      <c r="A148" s="12"/>
      <c r="B148" s="13"/>
      <c r="C148" s="14"/>
    </row>
    <row r="149" spans="1:3" ht="13.5" thickBot="1" x14ac:dyDescent="0.25">
      <c r="A149" s="2"/>
      <c r="C149" s="1"/>
    </row>
    <row r="150" spans="1:3" x14ac:dyDescent="0.2">
      <c r="A150" s="10"/>
      <c r="B150" s="112" t="s">
        <v>31</v>
      </c>
      <c r="C150" s="113">
        <f>SUM(C151:C156)</f>
        <v>215294.17919999998</v>
      </c>
    </row>
    <row r="151" spans="1:3" x14ac:dyDescent="0.2">
      <c r="A151" s="70">
        <v>45205</v>
      </c>
      <c r="B151" s="57" t="s">
        <v>439</v>
      </c>
      <c r="C151" s="71">
        <v>348</v>
      </c>
    </row>
    <row r="152" spans="1:3" x14ac:dyDescent="0.2">
      <c r="A152" s="70">
        <v>45205</v>
      </c>
      <c r="B152" s="57" t="s">
        <v>623</v>
      </c>
      <c r="C152" s="71">
        <f>11784.33*18.24</f>
        <v>214946.17919999998</v>
      </c>
    </row>
    <row r="153" spans="1:3" x14ac:dyDescent="0.2">
      <c r="A153" s="70"/>
      <c r="B153" s="57"/>
      <c r="C153" s="71"/>
    </row>
    <row r="154" spans="1:3" x14ac:dyDescent="0.2">
      <c r="A154" s="70"/>
      <c r="B154" s="57"/>
      <c r="C154" s="71"/>
    </row>
    <row r="155" spans="1:3" x14ac:dyDescent="0.2">
      <c r="A155" s="70"/>
      <c r="B155" s="57"/>
      <c r="C155" s="71"/>
    </row>
    <row r="156" spans="1:3" ht="13.5" thickBot="1" x14ac:dyDescent="0.25">
      <c r="A156" s="105"/>
      <c r="B156" s="18"/>
      <c r="C156" s="14"/>
    </row>
    <row r="157" spans="1:3" ht="13.5" thickBot="1" x14ac:dyDescent="0.25">
      <c r="A157" s="5"/>
      <c r="C157" s="1"/>
    </row>
    <row r="158" spans="1:3" x14ac:dyDescent="0.2">
      <c r="A158" s="10"/>
      <c r="B158" s="112" t="s">
        <v>32</v>
      </c>
      <c r="C158" s="113">
        <f>C159</f>
        <v>0</v>
      </c>
    </row>
    <row r="159" spans="1:3" ht="13.5" thickBot="1" x14ac:dyDescent="0.25">
      <c r="A159" s="59"/>
      <c r="B159" s="58"/>
      <c r="C159" s="14"/>
    </row>
    <row r="160" spans="1:3" ht="13.5" thickBot="1" x14ac:dyDescent="0.25">
      <c r="A160" s="2"/>
    </row>
    <row r="161" spans="1:3" x14ac:dyDescent="0.2">
      <c r="A161" s="10"/>
      <c r="B161" s="112" t="s">
        <v>33</v>
      </c>
      <c r="C161" s="113">
        <f>SUM(C162:C163)</f>
        <v>0</v>
      </c>
    </row>
    <row r="162" spans="1:3" x14ac:dyDescent="0.2">
      <c r="A162" s="70"/>
      <c r="B162" s="57"/>
      <c r="C162" s="71"/>
    </row>
    <row r="163" spans="1:3" ht="13.5" thickBot="1" x14ac:dyDescent="0.25">
      <c r="A163" s="59"/>
      <c r="B163" s="58"/>
      <c r="C163" s="14"/>
    </row>
    <row r="164" spans="1:3" ht="13.5" thickBot="1" x14ac:dyDescent="0.25">
      <c r="A164" s="2"/>
    </row>
    <row r="165" spans="1:3" x14ac:dyDescent="0.2">
      <c r="A165" s="10"/>
      <c r="B165" s="112" t="s">
        <v>34</v>
      </c>
      <c r="C165" s="113">
        <f>SUM(C166:C172)</f>
        <v>6886.38</v>
      </c>
    </row>
    <row r="166" spans="1:3" x14ac:dyDescent="0.2">
      <c r="A166" s="70">
        <v>45205</v>
      </c>
      <c r="B166" s="57" t="s">
        <v>440</v>
      </c>
      <c r="C166" s="69">
        <v>3916.38</v>
      </c>
    </row>
    <row r="167" spans="1:3" x14ac:dyDescent="0.2">
      <c r="A167" s="70">
        <v>45208</v>
      </c>
      <c r="B167" s="57" t="s">
        <v>468</v>
      </c>
      <c r="C167" s="69">
        <f>55*18</f>
        <v>990</v>
      </c>
    </row>
    <row r="168" spans="1:3" x14ac:dyDescent="0.2">
      <c r="A168" s="70">
        <v>45208</v>
      </c>
      <c r="B168" s="57" t="s">
        <v>469</v>
      </c>
      <c r="C168" s="69">
        <f>55*18</f>
        <v>990</v>
      </c>
    </row>
    <row r="169" spans="1:3" x14ac:dyDescent="0.2">
      <c r="A169" s="70">
        <v>45208</v>
      </c>
      <c r="B169" s="57" t="s">
        <v>470</v>
      </c>
      <c r="C169" s="69">
        <f>55*18</f>
        <v>990</v>
      </c>
    </row>
    <row r="170" spans="1:3" x14ac:dyDescent="0.2">
      <c r="A170" s="70"/>
      <c r="B170" s="57"/>
      <c r="C170" s="69"/>
    </row>
    <row r="171" spans="1:3" x14ac:dyDescent="0.2">
      <c r="A171" s="70"/>
      <c r="B171" s="57"/>
      <c r="C171" s="69"/>
    </row>
    <row r="172" spans="1:3" ht="13.5" thickBot="1" x14ac:dyDescent="0.25">
      <c r="A172" s="12"/>
      <c r="B172" s="13"/>
      <c r="C172" s="14"/>
    </row>
    <row r="173" spans="1:3" ht="13.5" thickBot="1" x14ac:dyDescent="0.25">
      <c r="A173" s="2"/>
      <c r="C173" s="1"/>
    </row>
    <row r="174" spans="1:3" x14ac:dyDescent="0.2">
      <c r="A174" s="10"/>
      <c r="B174" s="112" t="s">
        <v>35</v>
      </c>
      <c r="C174" s="113">
        <f>SUM(C175:C183)</f>
        <v>8546.33</v>
      </c>
    </row>
    <row r="175" spans="1:3" x14ac:dyDescent="0.2">
      <c r="A175" s="70">
        <v>45208</v>
      </c>
      <c r="B175" s="57" t="s">
        <v>583</v>
      </c>
      <c r="C175" s="71">
        <v>1742</v>
      </c>
    </row>
    <row r="176" spans="1:3" x14ac:dyDescent="0.2">
      <c r="A176" s="70">
        <v>45208</v>
      </c>
      <c r="B176" s="57" t="s">
        <v>584</v>
      </c>
      <c r="C176" s="71">
        <v>804.33</v>
      </c>
    </row>
    <row r="177" spans="1:3" x14ac:dyDescent="0.2">
      <c r="A177" s="70">
        <v>45205</v>
      </c>
      <c r="B177" s="57" t="s">
        <v>585</v>
      </c>
      <c r="C177" s="71">
        <v>2000</v>
      </c>
    </row>
    <row r="178" spans="1:3" x14ac:dyDescent="0.2">
      <c r="A178" s="70">
        <v>45205</v>
      </c>
      <c r="B178" s="57" t="s">
        <v>586</v>
      </c>
      <c r="C178" s="71">
        <v>2000</v>
      </c>
    </row>
    <row r="179" spans="1:3" x14ac:dyDescent="0.2">
      <c r="A179" s="70">
        <v>45205</v>
      </c>
      <c r="B179" s="57" t="s">
        <v>587</v>
      </c>
      <c r="C179" s="71">
        <v>2000</v>
      </c>
    </row>
    <row r="180" spans="1:3" x14ac:dyDescent="0.2">
      <c r="A180" s="70"/>
      <c r="B180" s="57"/>
      <c r="C180" s="71"/>
    </row>
    <row r="181" spans="1:3" x14ac:dyDescent="0.2">
      <c r="A181" s="70"/>
      <c r="B181" s="57"/>
      <c r="C181" s="71"/>
    </row>
    <row r="182" spans="1:3" x14ac:dyDescent="0.2">
      <c r="A182" s="70"/>
      <c r="B182" s="57"/>
      <c r="C182" s="71"/>
    </row>
    <row r="183" spans="1:3" ht="13.5" thickBot="1" x14ac:dyDescent="0.25">
      <c r="A183" s="59"/>
      <c r="B183" s="13"/>
      <c r="C183" s="14"/>
    </row>
    <row r="184" spans="1:3" ht="13.5" thickBot="1" x14ac:dyDescent="0.25">
      <c r="A184" s="2"/>
      <c r="C184" s="1"/>
    </row>
    <row r="185" spans="1:3" x14ac:dyDescent="0.2">
      <c r="A185" s="10"/>
      <c r="B185" s="112" t="s">
        <v>37</v>
      </c>
      <c r="C185" s="113">
        <f>SUM(C186:C195)</f>
        <v>10828.699999999999</v>
      </c>
    </row>
    <row r="186" spans="1:3" x14ac:dyDescent="0.2">
      <c r="A186" s="70">
        <v>45208</v>
      </c>
      <c r="B186" s="57" t="s">
        <v>550</v>
      </c>
      <c r="C186" s="71">
        <f>10048</f>
        <v>10048</v>
      </c>
    </row>
    <row r="187" spans="1:3" x14ac:dyDescent="0.2">
      <c r="A187" s="70">
        <v>45208</v>
      </c>
      <c r="B187" s="57" t="s">
        <v>471</v>
      </c>
      <c r="C187" s="71">
        <v>219.05</v>
      </c>
    </row>
    <row r="188" spans="1:3" x14ac:dyDescent="0.2">
      <c r="A188" s="70">
        <v>45208</v>
      </c>
      <c r="B188" s="57" t="s">
        <v>472</v>
      </c>
      <c r="C188" s="71">
        <v>219.6</v>
      </c>
    </row>
    <row r="189" spans="1:3" x14ac:dyDescent="0.2">
      <c r="A189" s="70">
        <v>45208</v>
      </c>
      <c r="B189" s="57" t="s">
        <v>473</v>
      </c>
      <c r="C189" s="71">
        <v>219.05</v>
      </c>
    </row>
    <row r="190" spans="1:3" x14ac:dyDescent="0.2">
      <c r="A190" s="70">
        <v>45218</v>
      </c>
      <c r="B190" s="57" t="s">
        <v>608</v>
      </c>
      <c r="C190" s="71">
        <v>123</v>
      </c>
    </row>
    <row r="191" spans="1:3" x14ac:dyDescent="0.2">
      <c r="A191" s="70"/>
      <c r="B191" s="57"/>
      <c r="C191" s="71"/>
    </row>
    <row r="192" spans="1:3" x14ac:dyDescent="0.2">
      <c r="A192" s="70"/>
      <c r="B192" s="57"/>
      <c r="C192" s="71"/>
    </row>
    <row r="193" spans="1:3" x14ac:dyDescent="0.2">
      <c r="A193" s="70"/>
      <c r="B193" s="57"/>
      <c r="C193" s="71"/>
    </row>
    <row r="194" spans="1:3" x14ac:dyDescent="0.2">
      <c r="A194" s="70"/>
      <c r="B194" s="57"/>
      <c r="C194" s="71"/>
    </row>
    <row r="195" spans="1:3" ht="13.5" thickBot="1" x14ac:dyDescent="0.25">
      <c r="A195" s="59"/>
      <c r="B195" s="13"/>
      <c r="C195" s="14"/>
    </row>
    <row r="196" spans="1:3" ht="13.5" thickBot="1" x14ac:dyDescent="0.25">
      <c r="A196" s="21"/>
      <c r="B196" s="11"/>
      <c r="C196" s="29"/>
    </row>
    <row r="197" spans="1:3" x14ac:dyDescent="0.2">
      <c r="A197" s="10"/>
      <c r="B197" s="112" t="s">
        <v>54</v>
      </c>
      <c r="C197" s="113">
        <f>SUM(C198)</f>
        <v>22043.48</v>
      </c>
    </row>
    <row r="198" spans="1:3" ht="13.5" thickBot="1" x14ac:dyDescent="0.25">
      <c r="A198" s="59">
        <v>45205</v>
      </c>
      <c r="B198" s="58" t="s">
        <v>480</v>
      </c>
      <c r="C198" s="14">
        <v>22043.48</v>
      </c>
    </row>
    <row r="199" spans="1:3" ht="13.5" thickBot="1" x14ac:dyDescent="0.25">
      <c r="A199" s="26"/>
      <c r="B199" s="57"/>
      <c r="C199" s="29"/>
    </row>
    <row r="200" spans="1:3" x14ac:dyDescent="0.2">
      <c r="A200" s="23"/>
      <c r="B200" s="112" t="s">
        <v>38</v>
      </c>
      <c r="C200" s="113">
        <f>SUM(C201:C253)</f>
        <v>219492.55</v>
      </c>
    </row>
    <row r="201" spans="1:3" x14ac:dyDescent="0.2">
      <c r="A201" s="96" t="s">
        <v>532</v>
      </c>
      <c r="B201" s="57" t="s">
        <v>533</v>
      </c>
      <c r="C201" s="69">
        <v>15395</v>
      </c>
    </row>
    <row r="202" spans="1:3" x14ac:dyDescent="0.2">
      <c r="A202" s="96" t="s">
        <v>532</v>
      </c>
      <c r="B202" s="57" t="s">
        <v>534</v>
      </c>
      <c r="C202" s="69">
        <f>3476.56+9266.5+8120</f>
        <v>20863.059999999998</v>
      </c>
    </row>
    <row r="203" spans="1:3" x14ac:dyDescent="0.2">
      <c r="A203" s="96" t="s">
        <v>532</v>
      </c>
      <c r="B203" s="57" t="s">
        <v>535</v>
      </c>
      <c r="C203" s="69">
        <v>300</v>
      </c>
    </row>
    <row r="204" spans="1:3" x14ac:dyDescent="0.2">
      <c r="A204" s="96" t="s">
        <v>532</v>
      </c>
      <c r="B204" s="57" t="s">
        <v>536</v>
      </c>
      <c r="C204" s="69">
        <v>300</v>
      </c>
    </row>
    <row r="205" spans="1:3" x14ac:dyDescent="0.2">
      <c r="A205" s="96" t="s">
        <v>537</v>
      </c>
      <c r="B205" s="57" t="s">
        <v>538</v>
      </c>
      <c r="C205" s="69">
        <v>300</v>
      </c>
    </row>
    <row r="206" spans="1:3" x14ac:dyDescent="0.2">
      <c r="A206" s="96" t="s">
        <v>537</v>
      </c>
      <c r="B206" s="57" t="s">
        <v>539</v>
      </c>
      <c r="C206" s="69">
        <v>300</v>
      </c>
    </row>
    <row r="207" spans="1:3" x14ac:dyDescent="0.2">
      <c r="A207" s="96" t="s">
        <v>537</v>
      </c>
      <c r="B207" s="57" t="s">
        <v>540</v>
      </c>
      <c r="C207" s="69">
        <v>10476</v>
      </c>
    </row>
    <row r="208" spans="1:3" x14ac:dyDescent="0.2">
      <c r="A208" s="96" t="s">
        <v>537</v>
      </c>
      <c r="B208" s="57" t="s">
        <v>541</v>
      </c>
      <c r="C208" s="69">
        <v>25210.99</v>
      </c>
    </row>
    <row r="209" spans="1:3" x14ac:dyDescent="0.2">
      <c r="A209" s="96" t="s">
        <v>537</v>
      </c>
      <c r="B209" s="57" t="s">
        <v>542</v>
      </c>
      <c r="C209" s="69">
        <v>8976</v>
      </c>
    </row>
    <row r="210" spans="1:3" x14ac:dyDescent="0.2">
      <c r="A210" s="96" t="s">
        <v>537</v>
      </c>
      <c r="B210" s="57" t="s">
        <v>543</v>
      </c>
      <c r="C210" s="69">
        <v>2390</v>
      </c>
    </row>
    <row r="211" spans="1:3" x14ac:dyDescent="0.2">
      <c r="A211" s="96" t="s">
        <v>537</v>
      </c>
      <c r="B211" s="57" t="s">
        <v>544</v>
      </c>
      <c r="C211" s="69">
        <v>10476</v>
      </c>
    </row>
    <row r="212" spans="1:3" x14ac:dyDescent="0.2">
      <c r="A212" s="96" t="s">
        <v>537</v>
      </c>
      <c r="B212" s="57" t="s">
        <v>545</v>
      </c>
      <c r="C212" s="69">
        <v>2390</v>
      </c>
    </row>
    <row r="213" spans="1:3" x14ac:dyDescent="0.2">
      <c r="A213" s="96" t="s">
        <v>537</v>
      </c>
      <c r="B213" s="57" t="s">
        <v>546</v>
      </c>
      <c r="C213" s="69">
        <v>10476</v>
      </c>
    </row>
    <row r="214" spans="1:3" x14ac:dyDescent="0.2">
      <c r="A214" s="96" t="s">
        <v>537</v>
      </c>
      <c r="B214" s="57" t="s">
        <v>547</v>
      </c>
      <c r="C214" s="69">
        <v>2165</v>
      </c>
    </row>
    <row r="215" spans="1:3" x14ac:dyDescent="0.2">
      <c r="A215" s="96" t="s">
        <v>537</v>
      </c>
      <c r="B215" s="57" t="s">
        <v>548</v>
      </c>
      <c r="C215" s="69">
        <v>10476</v>
      </c>
    </row>
    <row r="216" spans="1:3" x14ac:dyDescent="0.2">
      <c r="A216" s="96" t="s">
        <v>537</v>
      </c>
      <c r="B216" s="57" t="s">
        <v>549</v>
      </c>
      <c r="C216" s="69">
        <v>2150</v>
      </c>
    </row>
    <row r="217" spans="1:3" x14ac:dyDescent="0.2">
      <c r="A217" s="96" t="s">
        <v>551</v>
      </c>
      <c r="B217" s="57" t="s">
        <v>552</v>
      </c>
      <c r="C217" s="69">
        <v>17041</v>
      </c>
    </row>
    <row r="218" spans="1:3" x14ac:dyDescent="0.2">
      <c r="A218" s="96" t="s">
        <v>551</v>
      </c>
      <c r="B218" s="57" t="s">
        <v>553</v>
      </c>
      <c r="C218" s="69">
        <v>5882.5</v>
      </c>
    </row>
    <row r="219" spans="1:3" x14ac:dyDescent="0.2">
      <c r="A219" s="96" t="s">
        <v>551</v>
      </c>
      <c r="B219" s="57" t="s">
        <v>554</v>
      </c>
      <c r="C219" s="69">
        <v>17041</v>
      </c>
    </row>
    <row r="220" spans="1:3" x14ac:dyDescent="0.2">
      <c r="A220" s="96" t="s">
        <v>551</v>
      </c>
      <c r="B220" s="57" t="s">
        <v>555</v>
      </c>
      <c r="C220" s="69">
        <f>1184+4263</f>
        <v>5447</v>
      </c>
    </row>
    <row r="221" spans="1:3" x14ac:dyDescent="0.2">
      <c r="A221" s="96" t="s">
        <v>551</v>
      </c>
      <c r="B221" s="57" t="s">
        <v>556</v>
      </c>
      <c r="C221" s="69">
        <v>17041</v>
      </c>
    </row>
    <row r="222" spans="1:3" x14ac:dyDescent="0.2">
      <c r="A222" s="96" t="s">
        <v>551</v>
      </c>
      <c r="B222" s="57" t="s">
        <v>557</v>
      </c>
      <c r="C222" s="69">
        <f>1184+4263</f>
        <v>5447</v>
      </c>
    </row>
    <row r="223" spans="1:3" x14ac:dyDescent="0.2">
      <c r="A223" s="96" t="s">
        <v>551</v>
      </c>
      <c r="B223" s="57" t="s">
        <v>558</v>
      </c>
      <c r="C223" s="69">
        <v>300</v>
      </c>
    </row>
    <row r="224" spans="1:3" x14ac:dyDescent="0.2">
      <c r="A224" s="96" t="s">
        <v>551</v>
      </c>
      <c r="B224" s="57" t="s">
        <v>559</v>
      </c>
      <c r="C224" s="69">
        <v>300</v>
      </c>
    </row>
    <row r="225" spans="1:3" x14ac:dyDescent="0.2">
      <c r="A225" s="96" t="s">
        <v>551</v>
      </c>
      <c r="B225" s="57" t="s">
        <v>560</v>
      </c>
      <c r="C225" s="69">
        <v>300</v>
      </c>
    </row>
    <row r="226" spans="1:3" x14ac:dyDescent="0.2">
      <c r="A226" s="96" t="s">
        <v>551</v>
      </c>
      <c r="B226" s="57" t="s">
        <v>561</v>
      </c>
      <c r="C226" s="69">
        <v>300</v>
      </c>
    </row>
    <row r="227" spans="1:3" x14ac:dyDescent="0.2">
      <c r="A227" s="96" t="s">
        <v>551</v>
      </c>
      <c r="B227" s="57" t="s">
        <v>562</v>
      </c>
      <c r="C227" s="69">
        <v>300</v>
      </c>
    </row>
    <row r="228" spans="1:3" x14ac:dyDescent="0.2">
      <c r="A228" s="96" t="s">
        <v>551</v>
      </c>
      <c r="B228" s="57" t="s">
        <v>563</v>
      </c>
      <c r="C228" s="69">
        <v>300</v>
      </c>
    </row>
    <row r="229" spans="1:3" x14ac:dyDescent="0.2">
      <c r="A229" s="96" t="s">
        <v>551</v>
      </c>
      <c r="B229" s="57" t="s">
        <v>564</v>
      </c>
      <c r="C229" s="69">
        <v>300</v>
      </c>
    </row>
    <row r="230" spans="1:3" x14ac:dyDescent="0.2">
      <c r="A230" s="96" t="s">
        <v>551</v>
      </c>
      <c r="B230" s="57" t="s">
        <v>565</v>
      </c>
      <c r="C230" s="69">
        <v>300</v>
      </c>
    </row>
    <row r="231" spans="1:3" x14ac:dyDescent="0.2">
      <c r="A231" s="96" t="s">
        <v>551</v>
      </c>
      <c r="B231" s="57" t="s">
        <v>566</v>
      </c>
      <c r="C231" s="69">
        <v>300</v>
      </c>
    </row>
    <row r="232" spans="1:3" x14ac:dyDescent="0.2">
      <c r="A232" s="96" t="s">
        <v>551</v>
      </c>
      <c r="B232" s="57" t="s">
        <v>567</v>
      </c>
      <c r="C232" s="69">
        <v>300</v>
      </c>
    </row>
    <row r="233" spans="1:3" x14ac:dyDescent="0.2">
      <c r="A233" s="96" t="s">
        <v>551</v>
      </c>
      <c r="B233" s="57" t="s">
        <v>568</v>
      </c>
      <c r="C233" s="69">
        <v>300</v>
      </c>
    </row>
    <row r="234" spans="1:3" x14ac:dyDescent="0.2">
      <c r="A234" s="96" t="s">
        <v>551</v>
      </c>
      <c r="B234" s="57" t="s">
        <v>569</v>
      </c>
      <c r="C234" s="69">
        <v>300</v>
      </c>
    </row>
    <row r="235" spans="1:3" x14ac:dyDescent="0.2">
      <c r="A235" s="96" t="s">
        <v>551</v>
      </c>
      <c r="B235" s="57" t="s">
        <v>570</v>
      </c>
      <c r="C235" s="69">
        <v>300</v>
      </c>
    </row>
    <row r="236" spans="1:3" x14ac:dyDescent="0.2">
      <c r="A236" s="96" t="s">
        <v>551</v>
      </c>
      <c r="B236" s="57" t="s">
        <v>571</v>
      </c>
      <c r="C236" s="69">
        <v>300</v>
      </c>
    </row>
    <row r="237" spans="1:3" x14ac:dyDescent="0.2">
      <c r="A237" s="96" t="s">
        <v>551</v>
      </c>
      <c r="B237" s="57" t="s">
        <v>575</v>
      </c>
      <c r="C237" s="69">
        <v>300</v>
      </c>
    </row>
    <row r="238" spans="1:3" x14ac:dyDescent="0.2">
      <c r="A238" s="96" t="s">
        <v>551</v>
      </c>
      <c r="B238" s="57" t="s">
        <v>572</v>
      </c>
      <c r="C238" s="69">
        <v>300</v>
      </c>
    </row>
    <row r="239" spans="1:3" x14ac:dyDescent="0.2">
      <c r="A239" s="96" t="s">
        <v>551</v>
      </c>
      <c r="B239" s="57" t="s">
        <v>573</v>
      </c>
      <c r="C239" s="69">
        <v>300</v>
      </c>
    </row>
    <row r="240" spans="1:3" x14ac:dyDescent="0.2">
      <c r="A240" s="96" t="s">
        <v>551</v>
      </c>
      <c r="B240" s="57" t="s">
        <v>574</v>
      </c>
      <c r="C240" s="69">
        <v>300</v>
      </c>
    </row>
    <row r="241" spans="1:3" x14ac:dyDescent="0.2">
      <c r="A241" s="96" t="s">
        <v>551</v>
      </c>
      <c r="B241" s="57" t="s">
        <v>576</v>
      </c>
      <c r="C241" s="69">
        <v>300</v>
      </c>
    </row>
    <row r="242" spans="1:3" x14ac:dyDescent="0.2">
      <c r="A242" s="96" t="s">
        <v>551</v>
      </c>
      <c r="B242" s="57" t="s">
        <v>577</v>
      </c>
      <c r="C242" s="69">
        <v>300</v>
      </c>
    </row>
    <row r="243" spans="1:3" x14ac:dyDescent="0.2">
      <c r="A243" s="96" t="s">
        <v>551</v>
      </c>
      <c r="B243" s="57" t="s">
        <v>578</v>
      </c>
      <c r="C243" s="69">
        <v>300</v>
      </c>
    </row>
    <row r="244" spans="1:3" x14ac:dyDescent="0.2">
      <c r="A244" s="96" t="s">
        <v>551</v>
      </c>
      <c r="B244" s="57" t="s">
        <v>579</v>
      </c>
      <c r="C244" s="69">
        <v>300</v>
      </c>
    </row>
    <row r="245" spans="1:3" x14ac:dyDescent="0.2">
      <c r="A245" s="96" t="s">
        <v>551</v>
      </c>
      <c r="B245" s="57" t="s">
        <v>650</v>
      </c>
      <c r="C245" s="69">
        <v>0</v>
      </c>
    </row>
    <row r="246" spans="1:3" x14ac:dyDescent="0.2">
      <c r="A246" s="96" t="s">
        <v>551</v>
      </c>
      <c r="B246" s="57" t="s">
        <v>580</v>
      </c>
      <c r="C246" s="69">
        <v>300</v>
      </c>
    </row>
    <row r="247" spans="1:3" x14ac:dyDescent="0.2">
      <c r="A247" s="96" t="s">
        <v>537</v>
      </c>
      <c r="B247" s="57" t="s">
        <v>581</v>
      </c>
      <c r="C247" s="69">
        <v>8976</v>
      </c>
    </row>
    <row r="248" spans="1:3" x14ac:dyDescent="0.2">
      <c r="A248" s="96" t="s">
        <v>537</v>
      </c>
      <c r="B248" s="57" t="s">
        <v>582</v>
      </c>
      <c r="C248" s="69">
        <v>2210</v>
      </c>
    </row>
    <row r="249" spans="1:3" x14ac:dyDescent="0.2">
      <c r="A249" s="96" t="s">
        <v>617</v>
      </c>
      <c r="B249" s="57" t="s">
        <v>618</v>
      </c>
      <c r="C249" s="69">
        <v>8976</v>
      </c>
    </row>
    <row r="250" spans="1:3" x14ac:dyDescent="0.2">
      <c r="A250" s="96" t="s">
        <v>617</v>
      </c>
      <c r="B250" s="57" t="s">
        <v>619</v>
      </c>
      <c r="C250" s="69">
        <v>1887</v>
      </c>
    </row>
    <row r="251" spans="1:3" x14ac:dyDescent="0.2">
      <c r="A251" s="96"/>
      <c r="B251" s="57"/>
      <c r="C251" s="69"/>
    </row>
    <row r="252" spans="1:3" x14ac:dyDescent="0.2">
      <c r="A252" s="96"/>
      <c r="B252" s="57"/>
      <c r="C252" s="69"/>
    </row>
    <row r="253" spans="1:3" ht="13.5" thickBot="1" x14ac:dyDescent="0.25">
      <c r="A253" s="24"/>
      <c r="B253" s="58"/>
      <c r="C253" s="14"/>
    </row>
    <row r="254" spans="1:3" ht="13.5" thickBot="1" x14ac:dyDescent="0.25">
      <c r="A254" s="26"/>
      <c r="B254" s="57"/>
      <c r="C254" s="29"/>
    </row>
    <row r="255" spans="1:3" x14ac:dyDescent="0.2">
      <c r="A255" s="10"/>
      <c r="B255" s="112" t="s">
        <v>27</v>
      </c>
      <c r="C255" s="113">
        <f>SUM(C256:C262)</f>
        <v>2320</v>
      </c>
    </row>
    <row r="256" spans="1:3" x14ac:dyDescent="0.2">
      <c r="A256" s="70">
        <v>45205</v>
      </c>
      <c r="B256" s="57" t="s">
        <v>441</v>
      </c>
      <c r="C256" s="71">
        <f>2320</f>
        <v>2320</v>
      </c>
    </row>
    <row r="257" spans="1:3" x14ac:dyDescent="0.2">
      <c r="A257" s="70"/>
      <c r="B257" s="57"/>
      <c r="C257" s="71"/>
    </row>
    <row r="258" spans="1:3" x14ac:dyDescent="0.2">
      <c r="A258" s="70"/>
      <c r="B258" s="57"/>
      <c r="C258" s="71"/>
    </row>
    <row r="259" spans="1:3" x14ac:dyDescent="0.2">
      <c r="A259" s="70"/>
      <c r="B259" s="57"/>
      <c r="C259" s="71"/>
    </row>
    <row r="260" spans="1:3" x14ac:dyDescent="0.2">
      <c r="A260" s="70"/>
      <c r="B260" s="57"/>
      <c r="C260" s="71"/>
    </row>
    <row r="261" spans="1:3" x14ac:dyDescent="0.2">
      <c r="A261" s="70"/>
      <c r="B261" s="57"/>
      <c r="C261" s="71"/>
    </row>
    <row r="262" spans="1:3" ht="13.5" thickBot="1" x14ac:dyDescent="0.25">
      <c r="A262" s="12"/>
      <c r="B262" s="13"/>
      <c r="C262" s="14"/>
    </row>
    <row r="263" spans="1:3" x14ac:dyDescent="0.2">
      <c r="A263" s="2"/>
    </row>
    <row r="264" spans="1:3" ht="13.5" thickBot="1" x14ac:dyDescent="0.25">
      <c r="A264" s="28"/>
      <c r="B264" s="8"/>
      <c r="C264" s="8"/>
    </row>
    <row r="265" spans="1:3" ht="13.5" thickBot="1" x14ac:dyDescent="0.25">
      <c r="A265" s="118"/>
      <c r="B265" s="119" t="s">
        <v>0</v>
      </c>
      <c r="C265" s="120">
        <f>SUM(C266:C269)</f>
        <v>0</v>
      </c>
    </row>
    <row r="266" spans="1:3" x14ac:dyDescent="0.2">
      <c r="A266" s="74"/>
      <c r="B266" s="77"/>
      <c r="C266" s="75"/>
    </row>
    <row r="267" spans="1:3" x14ac:dyDescent="0.2">
      <c r="A267" s="102"/>
      <c r="B267" s="85"/>
      <c r="C267" s="71"/>
    </row>
    <row r="268" spans="1:3" x14ac:dyDescent="0.2">
      <c r="A268" s="102"/>
      <c r="B268" s="85"/>
      <c r="C268" s="71"/>
    </row>
    <row r="269" spans="1:3" ht="13.5" thickBot="1" x14ac:dyDescent="0.25">
      <c r="A269" s="24"/>
      <c r="B269" s="104"/>
      <c r="C269" s="76"/>
    </row>
    <row r="271" spans="1:3" x14ac:dyDescent="0.2">
      <c r="A271"/>
    </row>
    <row r="272" spans="1:3" x14ac:dyDescent="0.2">
      <c r="A272"/>
    </row>
    <row r="273" spans="1:3" x14ac:dyDescent="0.2">
      <c r="A273"/>
    </row>
    <row r="274" spans="1:3" x14ac:dyDescent="0.2">
      <c r="A274"/>
    </row>
    <row r="275" spans="1:3" x14ac:dyDescent="0.2">
      <c r="A275"/>
    </row>
    <row r="276" spans="1:3" x14ac:dyDescent="0.2">
      <c r="A276"/>
    </row>
    <row r="277" spans="1:3" x14ac:dyDescent="0.2">
      <c r="A277"/>
    </row>
    <row r="278" spans="1:3" x14ac:dyDescent="0.2">
      <c r="A278"/>
    </row>
    <row r="279" spans="1:3" x14ac:dyDescent="0.2">
      <c r="A279" s="1"/>
      <c r="B279" s="1"/>
    </row>
    <row r="280" spans="1:3" x14ac:dyDescent="0.2">
      <c r="A280" s="1"/>
      <c r="B280" s="1"/>
    </row>
    <row r="281" spans="1:3" x14ac:dyDescent="0.2">
      <c r="A281" s="1"/>
      <c r="B281" s="1"/>
    </row>
    <row r="282" spans="1:3" x14ac:dyDescent="0.2">
      <c r="A282" s="1"/>
      <c r="B282" s="1"/>
    </row>
    <row r="283" spans="1:3" x14ac:dyDescent="0.2">
      <c r="A283" s="1"/>
      <c r="B283" s="1"/>
    </row>
    <row r="284" spans="1:3" x14ac:dyDescent="0.2">
      <c r="A284" s="1"/>
      <c r="B284" s="1"/>
    </row>
    <row r="285" spans="1:3" x14ac:dyDescent="0.2">
      <c r="A285" s="1"/>
      <c r="B285" s="1"/>
    </row>
    <row r="286" spans="1:3" x14ac:dyDescent="0.2">
      <c r="A286" s="1"/>
      <c r="B286" s="1"/>
      <c r="C286" s="4"/>
    </row>
    <row r="287" spans="1:3" x14ac:dyDescent="0.2">
      <c r="A287" s="1"/>
      <c r="B287" s="1"/>
    </row>
    <row r="288" spans="1:3" x14ac:dyDescent="0.2">
      <c r="A288" s="1"/>
      <c r="B288" s="1"/>
    </row>
    <row r="289" spans="1:2" x14ac:dyDescent="0.2">
      <c r="A289" s="1"/>
      <c r="B289" s="1"/>
    </row>
    <row r="290" spans="1:2" x14ac:dyDescent="0.2">
      <c r="A290" s="1"/>
      <c r="B290" s="1"/>
    </row>
    <row r="291" spans="1:2" x14ac:dyDescent="0.2">
      <c r="A291" s="1"/>
      <c r="B291" s="1"/>
    </row>
    <row r="292" spans="1:2" x14ac:dyDescent="0.2">
      <c r="A292" s="1"/>
      <c r="B292" s="1"/>
    </row>
    <row r="293" spans="1:2" x14ac:dyDescent="0.2">
      <c r="A293" s="1"/>
      <c r="B293" s="1"/>
    </row>
    <row r="294" spans="1:2" x14ac:dyDescent="0.2">
      <c r="A294" s="1"/>
      <c r="B294" s="1"/>
    </row>
    <row r="295" spans="1:2" x14ac:dyDescent="0.2">
      <c r="A295" s="1"/>
      <c r="B295" s="1"/>
    </row>
    <row r="296" spans="1:2" x14ac:dyDescent="0.2">
      <c r="A296" s="1"/>
      <c r="B296" s="1"/>
    </row>
    <row r="297" spans="1:2" x14ac:dyDescent="0.2">
      <c r="A297"/>
    </row>
    <row r="298" spans="1:2" x14ac:dyDescent="0.2">
      <c r="A298"/>
    </row>
    <row r="299" spans="1:2" x14ac:dyDescent="0.2">
      <c r="A299"/>
    </row>
    <row r="300" spans="1:2" x14ac:dyDescent="0.2">
      <c r="A300"/>
    </row>
    <row r="301" spans="1:2" x14ac:dyDescent="0.2">
      <c r="A301"/>
    </row>
    <row r="302" spans="1:2" x14ac:dyDescent="0.2">
      <c r="A302"/>
    </row>
    <row r="303" spans="1:2" x14ac:dyDescent="0.2">
      <c r="A303"/>
    </row>
    <row r="304" spans="1:2" x14ac:dyDescent="0.2">
      <c r="A304"/>
    </row>
    <row r="305" spans="1:1" x14ac:dyDescent="0.2">
      <c r="A305"/>
    </row>
    <row r="306" spans="1:1" x14ac:dyDescent="0.2">
      <c r="A306"/>
    </row>
    <row r="307" spans="1:1" x14ac:dyDescent="0.2">
      <c r="A307"/>
    </row>
    <row r="308" spans="1:1" x14ac:dyDescent="0.2">
      <c r="A308"/>
    </row>
    <row r="309" spans="1:1" x14ac:dyDescent="0.2">
      <c r="A309"/>
    </row>
    <row r="310" spans="1:1" x14ac:dyDescent="0.2">
      <c r="A310"/>
    </row>
    <row r="311" spans="1:1" x14ac:dyDescent="0.2">
      <c r="A311"/>
    </row>
    <row r="312" spans="1:1" x14ac:dyDescent="0.2">
      <c r="A312"/>
    </row>
    <row r="313" spans="1:1" x14ac:dyDescent="0.2">
      <c r="A313"/>
    </row>
    <row r="314" spans="1:1" x14ac:dyDescent="0.2">
      <c r="A314"/>
    </row>
    <row r="315" spans="1:1" x14ac:dyDescent="0.2">
      <c r="A315"/>
    </row>
    <row r="316" spans="1:1" x14ac:dyDescent="0.2">
      <c r="A316"/>
    </row>
    <row r="317" spans="1:1" x14ac:dyDescent="0.2">
      <c r="A317"/>
    </row>
    <row r="318" spans="1:1" x14ac:dyDescent="0.2">
      <c r="A318"/>
    </row>
    <row r="319" spans="1:1" x14ac:dyDescent="0.2">
      <c r="A319"/>
    </row>
    <row r="320" spans="1:1" x14ac:dyDescent="0.2">
      <c r="A320"/>
    </row>
  </sheetData>
  <mergeCells count="1">
    <mergeCell ref="A2:B2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C180"/>
  <sheetViews>
    <sheetView topLeftCell="A148" workbookViewId="0">
      <selection activeCell="B112" sqref="B112"/>
    </sheetView>
  </sheetViews>
  <sheetFormatPr defaultRowHeight="12.75" x14ac:dyDescent="0.2"/>
  <cols>
    <col min="1" max="1" width="10.140625" style="22" bestFit="1" customWidth="1"/>
    <col min="2" max="2" width="84.28515625" customWidth="1"/>
    <col min="3" max="3" width="18.42578125" customWidth="1"/>
  </cols>
  <sheetData>
    <row r="1" spans="1:3" ht="13.5" thickBot="1" x14ac:dyDescent="0.25">
      <c r="A1"/>
    </row>
    <row r="2" spans="1:3" ht="13.5" thickBot="1" x14ac:dyDescent="0.25">
      <c r="A2" s="147" t="s">
        <v>72</v>
      </c>
      <c r="B2" s="148"/>
      <c r="C2" s="20">
        <f>C4+C76</f>
        <v>1180639.73</v>
      </c>
    </row>
    <row r="3" spans="1:3" ht="13.5" thickBot="1" x14ac:dyDescent="0.25">
      <c r="A3" s="16" t="s">
        <v>20</v>
      </c>
      <c r="B3" s="15" t="s">
        <v>21</v>
      </c>
      <c r="C3" s="17" t="s">
        <v>22</v>
      </c>
    </row>
    <row r="4" spans="1:3" ht="13.5" thickBot="1" x14ac:dyDescent="0.25">
      <c r="A4" s="114"/>
      <c r="B4" s="115" t="s">
        <v>23</v>
      </c>
      <c r="C4" s="116">
        <f>C5+C8+C13+C19+C25+C32+C37+C45+C53+C57+C60+C66+C69</f>
        <v>984506.34000000008</v>
      </c>
    </row>
    <row r="5" spans="1:3" x14ac:dyDescent="0.2">
      <c r="A5" s="10"/>
      <c r="B5" s="112" t="s">
        <v>36</v>
      </c>
      <c r="C5" s="113">
        <f>SUM(C6:C6)</f>
        <v>968856.53</v>
      </c>
    </row>
    <row r="6" spans="1:3" ht="13.5" thickBot="1" x14ac:dyDescent="0.25">
      <c r="A6" s="59">
        <v>45247</v>
      </c>
      <c r="B6" s="18" t="s">
        <v>651</v>
      </c>
      <c r="C6" s="14">
        <v>968856.53</v>
      </c>
    </row>
    <row r="7" spans="1:3" ht="13.5" thickBot="1" x14ac:dyDescent="0.25">
      <c r="A7" s="21"/>
      <c r="B7" s="11"/>
      <c r="C7" s="29"/>
    </row>
    <row r="8" spans="1:3" x14ac:dyDescent="0.2">
      <c r="A8" s="10"/>
      <c r="B8" s="112" t="s">
        <v>47</v>
      </c>
      <c r="C8" s="113">
        <f>SUM(C9:C11)</f>
        <v>0</v>
      </c>
    </row>
    <row r="9" spans="1:3" x14ac:dyDescent="0.2">
      <c r="A9" s="70"/>
      <c r="B9" s="57"/>
      <c r="C9" s="69"/>
    </row>
    <row r="10" spans="1:3" x14ac:dyDescent="0.2">
      <c r="A10" s="70"/>
      <c r="B10" s="57"/>
      <c r="C10" s="69"/>
    </row>
    <row r="11" spans="1:3" ht="13.5" thickBot="1" x14ac:dyDescent="0.25">
      <c r="A11" s="12"/>
      <c r="B11" s="13"/>
      <c r="C11" s="14"/>
    </row>
    <row r="12" spans="1:3" ht="13.5" thickBot="1" x14ac:dyDescent="0.25">
      <c r="A12" s="21"/>
      <c r="B12" s="11"/>
      <c r="C12" s="29"/>
    </row>
    <row r="13" spans="1:3" x14ac:dyDescent="0.2">
      <c r="A13" s="10"/>
      <c r="B13" s="112" t="s">
        <v>48</v>
      </c>
      <c r="C13" s="113">
        <f>SUM(C14:C17)</f>
        <v>0</v>
      </c>
    </row>
    <row r="14" spans="1:3" x14ac:dyDescent="0.2">
      <c r="A14" s="70"/>
      <c r="B14" s="57"/>
      <c r="C14" s="71"/>
    </row>
    <row r="15" spans="1:3" x14ac:dyDescent="0.2">
      <c r="A15" s="70"/>
      <c r="B15" s="57"/>
      <c r="C15" s="71"/>
    </row>
    <row r="16" spans="1:3" x14ac:dyDescent="0.2">
      <c r="A16" s="70"/>
      <c r="B16" s="57"/>
      <c r="C16" s="71"/>
    </row>
    <row r="17" spans="1:3" ht="13.5" thickBot="1" x14ac:dyDescent="0.25">
      <c r="A17" s="59"/>
      <c r="B17" s="13"/>
      <c r="C17" s="14"/>
    </row>
    <row r="18" spans="1:3" ht="13.5" thickBot="1" x14ac:dyDescent="0.25">
      <c r="A18" s="2"/>
      <c r="C18" s="4"/>
    </row>
    <row r="19" spans="1:3" x14ac:dyDescent="0.2">
      <c r="A19" s="10"/>
      <c r="B19" s="112" t="s">
        <v>24</v>
      </c>
      <c r="C19" s="113">
        <f>SUM(C20:C23)</f>
        <v>0</v>
      </c>
    </row>
    <row r="20" spans="1:3" x14ac:dyDescent="0.2">
      <c r="A20" s="70"/>
      <c r="B20" s="57"/>
      <c r="C20" s="71"/>
    </row>
    <row r="21" spans="1:3" x14ac:dyDescent="0.2">
      <c r="A21" s="70"/>
      <c r="B21" s="57"/>
      <c r="C21" s="71"/>
    </row>
    <row r="22" spans="1:3" x14ac:dyDescent="0.2">
      <c r="A22" s="70"/>
      <c r="B22" s="57"/>
      <c r="C22" s="71"/>
    </row>
    <row r="23" spans="1:3" ht="13.5" thickBot="1" x14ac:dyDescent="0.25">
      <c r="A23" s="59"/>
      <c r="B23" s="13"/>
      <c r="C23" s="14"/>
    </row>
    <row r="24" spans="1:3" ht="13.5" thickBot="1" x14ac:dyDescent="0.25">
      <c r="A24" s="2"/>
      <c r="C24" s="4"/>
    </row>
    <row r="25" spans="1:3" x14ac:dyDescent="0.2">
      <c r="A25" s="10"/>
      <c r="B25" s="112" t="s">
        <v>25</v>
      </c>
      <c r="C25" s="113">
        <f>SUM(C26:C30)</f>
        <v>281.43</v>
      </c>
    </row>
    <row r="26" spans="1:3" x14ac:dyDescent="0.2">
      <c r="A26" s="70">
        <v>45243</v>
      </c>
      <c r="B26" s="57" t="s">
        <v>636</v>
      </c>
      <c r="C26" s="69">
        <f>133.31+148.12</f>
        <v>281.43</v>
      </c>
    </row>
    <row r="27" spans="1:3" x14ac:dyDescent="0.2">
      <c r="A27" s="70"/>
      <c r="B27" s="57"/>
      <c r="C27" s="69"/>
    </row>
    <row r="28" spans="1:3" x14ac:dyDescent="0.2">
      <c r="A28" s="70"/>
      <c r="B28" s="57"/>
      <c r="C28" s="69"/>
    </row>
    <row r="29" spans="1:3" x14ac:dyDescent="0.2">
      <c r="A29" s="70"/>
      <c r="B29" s="57"/>
      <c r="C29" s="69"/>
    </row>
    <row r="30" spans="1:3" ht="13.5" thickBot="1" x14ac:dyDescent="0.25">
      <c r="A30" s="12"/>
      <c r="B30" s="13"/>
      <c r="C30" s="14"/>
    </row>
    <row r="31" spans="1:3" ht="13.5" thickBot="1" x14ac:dyDescent="0.25">
      <c r="A31" s="2"/>
      <c r="C31" s="4"/>
    </row>
    <row r="32" spans="1:3" x14ac:dyDescent="0.2">
      <c r="A32" s="10"/>
      <c r="B32" s="112" t="s">
        <v>19</v>
      </c>
      <c r="C32" s="113">
        <f>SUM(C33:C35)</f>
        <v>4080</v>
      </c>
    </row>
    <row r="33" spans="1:3" x14ac:dyDescent="0.2">
      <c r="A33" s="70">
        <v>45243</v>
      </c>
      <c r="B33" s="57" t="s">
        <v>626</v>
      </c>
      <c r="C33" s="69">
        <f>200</f>
        <v>200</v>
      </c>
    </row>
    <row r="34" spans="1:3" x14ac:dyDescent="0.2">
      <c r="A34" s="70">
        <v>45243</v>
      </c>
      <c r="B34" s="57" t="s">
        <v>630</v>
      </c>
      <c r="C34" s="69">
        <f>3664+216</f>
        <v>3880</v>
      </c>
    </row>
    <row r="35" spans="1:3" ht="13.5" thickBot="1" x14ac:dyDescent="0.25">
      <c r="A35" s="59"/>
      <c r="B35" s="13"/>
      <c r="C35" s="14"/>
    </row>
    <row r="36" spans="1:3" ht="13.5" thickBot="1" x14ac:dyDescent="0.25">
      <c r="A36" s="2"/>
      <c r="C36" s="4"/>
    </row>
    <row r="37" spans="1:3" x14ac:dyDescent="0.2">
      <c r="A37" s="10"/>
      <c r="B37" s="112" t="s">
        <v>58</v>
      </c>
      <c r="C37" s="113">
        <f>SUM(C38:C43)</f>
        <v>319.94</v>
      </c>
    </row>
    <row r="38" spans="1:3" x14ac:dyDescent="0.2">
      <c r="A38" s="80">
        <v>45243</v>
      </c>
      <c r="B38" s="57" t="s">
        <v>633</v>
      </c>
      <c r="C38" s="69">
        <f>319.94</f>
        <v>319.94</v>
      </c>
    </row>
    <row r="39" spans="1:3" x14ac:dyDescent="0.2">
      <c r="A39" s="80"/>
      <c r="B39" s="57"/>
      <c r="C39" s="69"/>
    </row>
    <row r="40" spans="1:3" x14ac:dyDescent="0.2">
      <c r="A40" s="80"/>
      <c r="B40" s="57"/>
      <c r="C40" s="69"/>
    </row>
    <row r="41" spans="1:3" x14ac:dyDescent="0.2">
      <c r="A41" s="80"/>
      <c r="B41" s="57"/>
      <c r="C41" s="69"/>
    </row>
    <row r="42" spans="1:3" x14ac:dyDescent="0.2">
      <c r="A42" s="80"/>
      <c r="B42" s="57"/>
      <c r="C42" s="69"/>
    </row>
    <row r="43" spans="1:3" ht="13.5" thickBot="1" x14ac:dyDescent="0.25">
      <c r="A43" s="12"/>
      <c r="B43" s="61"/>
      <c r="C43" s="14"/>
    </row>
    <row r="44" spans="1:3" ht="13.5" thickBot="1" x14ac:dyDescent="0.25">
      <c r="A44" s="2"/>
    </row>
    <row r="45" spans="1:3" x14ac:dyDescent="0.2">
      <c r="A45" s="10"/>
      <c r="B45" s="112" t="s">
        <v>55</v>
      </c>
      <c r="C45" s="113">
        <f>SUM(C46:C51)</f>
        <v>9036.4</v>
      </c>
    </row>
    <row r="46" spans="1:3" x14ac:dyDescent="0.2">
      <c r="A46" s="70">
        <v>45243</v>
      </c>
      <c r="B46" s="57" t="s">
        <v>625</v>
      </c>
      <c r="C46" s="69">
        <f>378.07+278.01+280+98.8+1016.51+349.97</f>
        <v>2401.3599999999997</v>
      </c>
    </row>
    <row r="47" spans="1:3" x14ac:dyDescent="0.2">
      <c r="A47" s="70">
        <v>45243</v>
      </c>
      <c r="B47" s="57" t="s">
        <v>629</v>
      </c>
      <c r="C47" s="69">
        <f>780.03+715+5000+140.01</f>
        <v>6635.04</v>
      </c>
    </row>
    <row r="48" spans="1:3" x14ac:dyDescent="0.2">
      <c r="A48" s="70"/>
      <c r="B48" s="57"/>
      <c r="C48" s="69"/>
    </row>
    <row r="49" spans="1:3" x14ac:dyDescent="0.2">
      <c r="A49" s="70"/>
      <c r="B49" s="57"/>
      <c r="C49" s="69"/>
    </row>
    <row r="50" spans="1:3" x14ac:dyDescent="0.2">
      <c r="A50" s="70"/>
      <c r="B50" s="57"/>
      <c r="C50" s="69"/>
    </row>
    <row r="51" spans="1:3" ht="13.5" thickBot="1" x14ac:dyDescent="0.25">
      <c r="A51" s="59"/>
      <c r="B51" s="58"/>
      <c r="C51" s="14"/>
    </row>
    <row r="52" spans="1:3" ht="13.5" thickBot="1" x14ac:dyDescent="0.25">
      <c r="A52" s="21"/>
      <c r="B52" s="57"/>
      <c r="C52" s="29"/>
    </row>
    <row r="53" spans="1:3" x14ac:dyDescent="0.2">
      <c r="A53" s="10"/>
      <c r="B53" s="112" t="s">
        <v>56</v>
      </c>
      <c r="C53" s="113">
        <f>SUM(C54:C55)</f>
        <v>1932.04</v>
      </c>
    </row>
    <row r="54" spans="1:3" x14ac:dyDescent="0.2">
      <c r="A54" s="70">
        <v>45243</v>
      </c>
      <c r="B54" s="57" t="s">
        <v>632</v>
      </c>
      <c r="C54" s="71">
        <f>1120.88</f>
        <v>1120.8800000000001</v>
      </c>
    </row>
    <row r="55" spans="1:3" ht="13.5" thickBot="1" x14ac:dyDescent="0.25">
      <c r="A55" s="59">
        <v>45243</v>
      </c>
      <c r="B55" s="58" t="s">
        <v>627</v>
      </c>
      <c r="C55" s="14">
        <f>302.4+310.76+198</f>
        <v>811.16</v>
      </c>
    </row>
    <row r="56" spans="1:3" ht="13.5" thickBot="1" x14ac:dyDescent="0.25">
      <c r="A56" s="21"/>
      <c r="B56" s="57"/>
      <c r="C56" s="29"/>
    </row>
    <row r="57" spans="1:3" x14ac:dyDescent="0.2">
      <c r="A57" s="10"/>
      <c r="B57" s="112" t="s">
        <v>41</v>
      </c>
      <c r="C57" s="113">
        <f>SUM(C58)</f>
        <v>0</v>
      </c>
    </row>
    <row r="58" spans="1:3" ht="13.5" thickBot="1" x14ac:dyDescent="0.25">
      <c r="A58" s="12"/>
      <c r="B58" s="58"/>
      <c r="C58" s="14"/>
    </row>
    <row r="59" spans="1:3" ht="13.5" thickBot="1" x14ac:dyDescent="0.25">
      <c r="A59" s="2"/>
    </row>
    <row r="60" spans="1:3" x14ac:dyDescent="0.2">
      <c r="A60" s="10"/>
      <c r="B60" s="112" t="s">
        <v>28</v>
      </c>
      <c r="C60" s="113">
        <f>SUM(C61:C64)</f>
        <v>0</v>
      </c>
    </row>
    <row r="61" spans="1:3" x14ac:dyDescent="0.2">
      <c r="A61" s="79"/>
      <c r="B61" s="57"/>
      <c r="C61" s="71"/>
    </row>
    <row r="62" spans="1:3" x14ac:dyDescent="0.2">
      <c r="A62" s="79"/>
      <c r="B62" s="57"/>
      <c r="C62" s="71"/>
    </row>
    <row r="63" spans="1:3" x14ac:dyDescent="0.2">
      <c r="A63" s="79"/>
      <c r="B63" s="57"/>
      <c r="C63" s="71"/>
    </row>
    <row r="64" spans="1:3" ht="13.5" thickBot="1" x14ac:dyDescent="0.25">
      <c r="A64" s="59"/>
      <c r="B64" s="18"/>
      <c r="C64" s="14"/>
    </row>
    <row r="65" spans="1:3" ht="13.5" thickBot="1" x14ac:dyDescent="0.25">
      <c r="A65" s="2"/>
    </row>
    <row r="66" spans="1:3" x14ac:dyDescent="0.2">
      <c r="A66" s="10"/>
      <c r="B66" s="112" t="s">
        <v>57</v>
      </c>
      <c r="C66" s="113">
        <f>C67</f>
        <v>0</v>
      </c>
    </row>
    <row r="67" spans="1:3" ht="13.5" thickBot="1" x14ac:dyDescent="0.25">
      <c r="A67" s="59"/>
      <c r="B67" s="58"/>
      <c r="C67" s="14"/>
    </row>
    <row r="68" spans="1:3" ht="13.5" thickBot="1" x14ac:dyDescent="0.25">
      <c r="A68" s="2"/>
    </row>
    <row r="69" spans="1:3" x14ac:dyDescent="0.2">
      <c r="A69" s="10"/>
      <c r="B69" s="112" t="s">
        <v>27</v>
      </c>
      <c r="C69" s="113">
        <f>SUM(C70:C73)</f>
        <v>0</v>
      </c>
    </row>
    <row r="70" spans="1:3" x14ac:dyDescent="0.2">
      <c r="A70" s="70"/>
      <c r="B70" s="57"/>
      <c r="C70" s="69"/>
    </row>
    <row r="71" spans="1:3" x14ac:dyDescent="0.2">
      <c r="A71" s="70"/>
      <c r="B71" s="57"/>
      <c r="C71" s="69"/>
    </row>
    <row r="72" spans="1:3" x14ac:dyDescent="0.2">
      <c r="A72" s="70"/>
      <c r="B72" s="57"/>
      <c r="C72" s="69"/>
    </row>
    <row r="73" spans="1:3" ht="13.5" thickBot="1" x14ac:dyDescent="0.25">
      <c r="A73" s="59"/>
      <c r="B73" s="13"/>
      <c r="C73" s="14"/>
    </row>
    <row r="74" spans="1:3" x14ac:dyDescent="0.2">
      <c r="A74" s="2"/>
      <c r="B74" s="7"/>
    </row>
    <row r="75" spans="1:3" ht="13.5" thickBot="1" x14ac:dyDescent="0.25">
      <c r="A75" s="9"/>
      <c r="B75" s="8"/>
      <c r="C75" s="8"/>
    </row>
    <row r="76" spans="1:3" ht="13.5" thickBot="1" x14ac:dyDescent="0.25">
      <c r="A76" s="114"/>
      <c r="B76" s="115" t="s">
        <v>29</v>
      </c>
      <c r="C76" s="116">
        <f>C77+C83+C87+C90+C93+C96+C99+C102+C107+C111+C115+C118+C121+C126+C129+C138+C141+C162</f>
        <v>196133.38999999998</v>
      </c>
    </row>
    <row r="77" spans="1:3" x14ac:dyDescent="0.2">
      <c r="A77" s="10"/>
      <c r="B77" s="112" t="s">
        <v>26</v>
      </c>
      <c r="C77" s="113">
        <f>SUM(C78:C81)</f>
        <v>4000</v>
      </c>
    </row>
    <row r="78" spans="1:3" x14ac:dyDescent="0.2">
      <c r="A78" s="70">
        <v>45243</v>
      </c>
      <c r="B78" s="57" t="s">
        <v>631</v>
      </c>
      <c r="C78" s="69">
        <f>4000</f>
        <v>4000</v>
      </c>
    </row>
    <row r="79" spans="1:3" x14ac:dyDescent="0.2">
      <c r="A79" s="70"/>
      <c r="B79" s="57"/>
      <c r="C79" s="69"/>
    </row>
    <row r="80" spans="1:3" x14ac:dyDescent="0.2">
      <c r="A80" s="70"/>
      <c r="B80" s="57"/>
      <c r="C80" s="69"/>
    </row>
    <row r="81" spans="1:3" ht="13.5" thickBot="1" x14ac:dyDescent="0.25">
      <c r="A81" s="12"/>
      <c r="B81" s="13"/>
      <c r="C81" s="14"/>
    </row>
    <row r="82" spans="1:3" ht="13.5" thickBot="1" x14ac:dyDescent="0.25">
      <c r="A82" s="2"/>
      <c r="C82" s="4"/>
    </row>
    <row r="83" spans="1:3" x14ac:dyDescent="0.2">
      <c r="A83" s="87"/>
      <c r="B83" s="112" t="s">
        <v>53</v>
      </c>
      <c r="C83" s="113">
        <f>SUM(C84:C85)</f>
        <v>0</v>
      </c>
    </row>
    <row r="84" spans="1:3" x14ac:dyDescent="0.2">
      <c r="A84" s="70"/>
      <c r="B84" s="57"/>
      <c r="C84" s="69"/>
    </row>
    <row r="85" spans="1:3" ht="13.5" thickBot="1" x14ac:dyDescent="0.25">
      <c r="A85" s="12"/>
      <c r="B85" s="61"/>
      <c r="C85" s="14"/>
    </row>
    <row r="86" spans="1:3" ht="13.5" thickBot="1" x14ac:dyDescent="0.25">
      <c r="A86" s="21"/>
      <c r="B86" s="60"/>
      <c r="C86" s="29"/>
    </row>
    <row r="87" spans="1:3" x14ac:dyDescent="0.2">
      <c r="A87" s="10"/>
      <c r="B87" s="112" t="s">
        <v>51</v>
      </c>
      <c r="C87" s="113">
        <f>SUM(C88)</f>
        <v>0</v>
      </c>
    </row>
    <row r="88" spans="1:3" ht="13.5" thickBot="1" x14ac:dyDescent="0.25">
      <c r="A88" s="59"/>
      <c r="B88" s="58"/>
      <c r="C88" s="14"/>
    </row>
    <row r="89" spans="1:3" ht="13.5" thickBot="1" x14ac:dyDescent="0.25">
      <c r="A89" s="21"/>
      <c r="B89" s="60"/>
      <c r="C89" s="29"/>
    </row>
    <row r="90" spans="1:3" x14ac:dyDescent="0.2">
      <c r="A90" s="10"/>
      <c r="B90" s="112" t="s">
        <v>49</v>
      </c>
      <c r="C90" s="113">
        <f>C91</f>
        <v>0</v>
      </c>
    </row>
    <row r="91" spans="1:3" ht="13.5" thickBot="1" x14ac:dyDescent="0.25">
      <c r="A91" s="12"/>
      <c r="B91" s="61"/>
      <c r="C91" s="14"/>
    </row>
    <row r="92" spans="1:3" ht="13.5" thickBot="1" x14ac:dyDescent="0.25">
      <c r="A92" s="21"/>
      <c r="B92" s="60"/>
      <c r="C92" s="29"/>
    </row>
    <row r="93" spans="1:3" x14ac:dyDescent="0.2">
      <c r="A93" s="10"/>
      <c r="B93" s="112" t="s">
        <v>75</v>
      </c>
      <c r="C93" s="113">
        <f>SUM(C94)</f>
        <v>0</v>
      </c>
    </row>
    <row r="94" spans="1:3" ht="13.5" thickBot="1" x14ac:dyDescent="0.25">
      <c r="A94" s="59"/>
      <c r="B94" s="58"/>
      <c r="C94" s="14"/>
    </row>
    <row r="95" spans="1:3" ht="13.5" thickBot="1" x14ac:dyDescent="0.25">
      <c r="A95" s="2"/>
    </row>
    <row r="96" spans="1:3" x14ac:dyDescent="0.2">
      <c r="A96" s="10"/>
      <c r="B96" s="112" t="s">
        <v>77</v>
      </c>
      <c r="C96" s="113">
        <f>C97</f>
        <v>0</v>
      </c>
    </row>
    <row r="97" spans="1:3" ht="13.5" thickBot="1" x14ac:dyDescent="0.25">
      <c r="A97" s="59"/>
      <c r="B97" s="13"/>
      <c r="C97" s="14"/>
    </row>
    <row r="98" spans="1:3" ht="13.5" thickBot="1" x14ac:dyDescent="0.25">
      <c r="A98" s="2"/>
      <c r="C98" s="1"/>
    </row>
    <row r="99" spans="1:3" x14ac:dyDescent="0.2">
      <c r="A99" s="10"/>
      <c r="B99" s="112" t="s">
        <v>78</v>
      </c>
      <c r="C99" s="113">
        <f>C100</f>
        <v>0</v>
      </c>
    </row>
    <row r="100" spans="1:3" ht="13.5" thickBot="1" x14ac:dyDescent="0.25">
      <c r="A100" s="12"/>
      <c r="B100" s="18"/>
      <c r="C100" s="14"/>
    </row>
    <row r="101" spans="1:3" ht="13.5" thickBot="1" x14ac:dyDescent="0.25">
      <c r="A101" s="2"/>
      <c r="C101" s="4"/>
    </row>
    <row r="102" spans="1:3" x14ac:dyDescent="0.2">
      <c r="A102" s="10"/>
      <c r="B102" s="112" t="s">
        <v>30</v>
      </c>
      <c r="C102" s="113">
        <f>SUM(C103:C105)</f>
        <v>0</v>
      </c>
    </row>
    <row r="103" spans="1:3" x14ac:dyDescent="0.2">
      <c r="A103" s="70"/>
      <c r="B103" s="57"/>
      <c r="C103" s="71"/>
    </row>
    <row r="104" spans="1:3" x14ac:dyDescent="0.2">
      <c r="A104" s="70"/>
      <c r="B104" s="57"/>
      <c r="C104" s="71"/>
    </row>
    <row r="105" spans="1:3" ht="13.5" thickBot="1" x14ac:dyDescent="0.25">
      <c r="A105" s="59"/>
      <c r="B105" s="13"/>
      <c r="C105" s="14"/>
    </row>
    <row r="106" spans="1:3" ht="13.5" thickBot="1" x14ac:dyDescent="0.25">
      <c r="A106" s="2"/>
      <c r="C106" s="4"/>
    </row>
    <row r="107" spans="1:3" x14ac:dyDescent="0.2">
      <c r="A107" s="10"/>
      <c r="B107" s="112" t="s">
        <v>18</v>
      </c>
      <c r="C107" s="113">
        <f>SUM(C108:C109)</f>
        <v>0</v>
      </c>
    </row>
    <row r="108" spans="1:3" x14ac:dyDescent="0.2">
      <c r="A108" s="70"/>
      <c r="B108" s="57"/>
      <c r="C108" s="69"/>
    </row>
    <row r="109" spans="1:3" ht="13.5" thickBot="1" x14ac:dyDescent="0.25">
      <c r="A109" s="59"/>
      <c r="B109" s="13"/>
      <c r="C109" s="14"/>
    </row>
    <row r="110" spans="1:3" ht="13.5" thickBot="1" x14ac:dyDescent="0.25">
      <c r="A110" s="2"/>
      <c r="C110" s="1"/>
    </row>
    <row r="111" spans="1:3" x14ac:dyDescent="0.2">
      <c r="A111" s="10"/>
      <c r="B111" s="112" t="s">
        <v>31</v>
      </c>
      <c r="C111" s="113">
        <f>SUM(C112:C113)</f>
        <v>91913.76</v>
      </c>
    </row>
    <row r="112" spans="1:3" x14ac:dyDescent="0.2">
      <c r="A112" s="70">
        <v>45251</v>
      </c>
      <c r="B112" s="57" t="s">
        <v>652</v>
      </c>
      <c r="C112" s="71">
        <f>5178.24*17.75</f>
        <v>91913.76</v>
      </c>
    </row>
    <row r="113" spans="1:3" ht="13.5" thickBot="1" x14ac:dyDescent="0.25">
      <c r="A113" s="105"/>
      <c r="B113" s="18"/>
      <c r="C113" s="14"/>
    </row>
    <row r="114" spans="1:3" ht="13.5" thickBot="1" x14ac:dyDescent="0.25">
      <c r="A114" s="5"/>
      <c r="C114" s="1"/>
    </row>
    <row r="115" spans="1:3" x14ac:dyDescent="0.2">
      <c r="A115" s="10"/>
      <c r="B115" s="112" t="s">
        <v>32</v>
      </c>
      <c r="C115" s="113">
        <f>C116</f>
        <v>0</v>
      </c>
    </row>
    <row r="116" spans="1:3" ht="13.5" thickBot="1" x14ac:dyDescent="0.25">
      <c r="A116" s="59"/>
      <c r="B116" s="58"/>
      <c r="C116" s="14"/>
    </row>
    <row r="117" spans="1:3" ht="13.5" thickBot="1" x14ac:dyDescent="0.25">
      <c r="A117" s="2"/>
    </row>
    <row r="118" spans="1:3" x14ac:dyDescent="0.2">
      <c r="A118" s="10"/>
      <c r="B118" s="112" t="s">
        <v>33</v>
      </c>
      <c r="C118" s="113">
        <f>SUM(C119)</f>
        <v>0</v>
      </c>
    </row>
    <row r="119" spans="1:3" ht="13.5" thickBot="1" x14ac:dyDescent="0.25">
      <c r="A119" s="59"/>
      <c r="B119" s="58"/>
      <c r="C119" s="14"/>
    </row>
    <row r="120" spans="1:3" ht="13.5" thickBot="1" x14ac:dyDescent="0.25">
      <c r="A120" s="2"/>
    </row>
    <row r="121" spans="1:3" x14ac:dyDescent="0.2">
      <c r="A121" s="10"/>
      <c r="B121" s="112" t="s">
        <v>34</v>
      </c>
      <c r="C121" s="113">
        <f>SUM(C122:C124)</f>
        <v>9039.6</v>
      </c>
    </row>
    <row r="122" spans="1:3" x14ac:dyDescent="0.2">
      <c r="A122" s="70">
        <v>45251</v>
      </c>
      <c r="B122" s="57" t="s">
        <v>654</v>
      </c>
      <c r="C122" s="71">
        <v>9039.6</v>
      </c>
    </row>
    <row r="123" spans="1:3" x14ac:dyDescent="0.2">
      <c r="A123" s="70"/>
      <c r="B123" s="57"/>
      <c r="C123" s="71"/>
    </row>
    <row r="124" spans="1:3" ht="13.5" thickBot="1" x14ac:dyDescent="0.25">
      <c r="A124" s="59"/>
      <c r="B124" s="13"/>
      <c r="C124" s="14"/>
    </row>
    <row r="125" spans="1:3" ht="13.5" thickBot="1" x14ac:dyDescent="0.25">
      <c r="A125" s="2"/>
      <c r="C125" s="1"/>
    </row>
    <row r="126" spans="1:3" x14ac:dyDescent="0.2">
      <c r="A126" s="10"/>
      <c r="B126" s="112" t="s">
        <v>35</v>
      </c>
      <c r="C126" s="113">
        <f>SUM(C127:C127)</f>
        <v>0</v>
      </c>
    </row>
    <row r="127" spans="1:3" ht="13.5" thickBot="1" x14ac:dyDescent="0.25">
      <c r="A127" s="59"/>
      <c r="B127" s="18"/>
      <c r="C127" s="14"/>
    </row>
    <row r="128" spans="1:3" ht="13.5" thickBot="1" x14ac:dyDescent="0.25">
      <c r="A128" s="2"/>
      <c r="C128" s="1"/>
    </row>
    <row r="129" spans="1:3" x14ac:dyDescent="0.2">
      <c r="A129" s="10"/>
      <c r="B129" s="112" t="s">
        <v>37</v>
      </c>
      <c r="C129" s="113">
        <f>SUM(C130:C136)</f>
        <v>0</v>
      </c>
    </row>
    <row r="130" spans="1:3" x14ac:dyDescent="0.2">
      <c r="A130" s="70"/>
      <c r="B130" s="57"/>
      <c r="C130" s="69"/>
    </row>
    <row r="131" spans="1:3" x14ac:dyDescent="0.2">
      <c r="A131" s="70"/>
      <c r="B131" s="57"/>
      <c r="C131" s="69"/>
    </row>
    <row r="132" spans="1:3" x14ac:dyDescent="0.2">
      <c r="A132" s="70"/>
      <c r="B132" s="57"/>
      <c r="C132" s="69"/>
    </row>
    <row r="133" spans="1:3" x14ac:dyDescent="0.2">
      <c r="A133" s="70"/>
      <c r="B133" s="57"/>
      <c r="C133" s="69"/>
    </row>
    <row r="134" spans="1:3" x14ac:dyDescent="0.2">
      <c r="A134" s="70"/>
      <c r="B134" s="57"/>
      <c r="C134" s="69"/>
    </row>
    <row r="135" spans="1:3" x14ac:dyDescent="0.2">
      <c r="A135" s="70"/>
      <c r="B135" s="57"/>
      <c r="C135" s="69"/>
    </row>
    <row r="136" spans="1:3" ht="13.5" thickBot="1" x14ac:dyDescent="0.25">
      <c r="A136" s="59"/>
      <c r="B136" s="13"/>
      <c r="C136" s="14"/>
    </row>
    <row r="137" spans="1:3" ht="13.5" thickBot="1" x14ac:dyDescent="0.25">
      <c r="A137" s="21"/>
      <c r="B137" s="11"/>
      <c r="C137" s="29"/>
    </row>
    <row r="138" spans="1:3" x14ac:dyDescent="0.2">
      <c r="A138" s="10"/>
      <c r="B138" s="112" t="s">
        <v>54</v>
      </c>
      <c r="C138" s="113">
        <f>SUM(C139)</f>
        <v>1251.95</v>
      </c>
    </row>
    <row r="139" spans="1:3" ht="13.5" thickBot="1" x14ac:dyDescent="0.25">
      <c r="A139" s="59">
        <v>45243</v>
      </c>
      <c r="B139" s="58" t="s">
        <v>634</v>
      </c>
      <c r="C139" s="14">
        <f>1251.95</f>
        <v>1251.95</v>
      </c>
    </row>
    <row r="140" spans="1:3" ht="13.5" thickBot="1" x14ac:dyDescent="0.25">
      <c r="A140" s="26"/>
      <c r="B140" s="57"/>
      <c r="C140" s="29"/>
    </row>
    <row r="141" spans="1:3" x14ac:dyDescent="0.2">
      <c r="A141" s="23"/>
      <c r="B141" s="112" t="s">
        <v>38</v>
      </c>
      <c r="C141" s="113">
        <f>SUM(C142:C160)</f>
        <v>84981</v>
      </c>
    </row>
    <row r="142" spans="1:3" x14ac:dyDescent="0.2">
      <c r="A142" s="96" t="s">
        <v>637</v>
      </c>
      <c r="B142" s="57" t="s">
        <v>638</v>
      </c>
      <c r="C142" s="69">
        <v>14931</v>
      </c>
    </row>
    <row r="143" spans="1:3" x14ac:dyDescent="0.2">
      <c r="A143" s="96" t="s">
        <v>637</v>
      </c>
      <c r="B143" s="57" t="s">
        <v>639</v>
      </c>
      <c r="C143" s="69"/>
    </row>
    <row r="144" spans="1:3" x14ac:dyDescent="0.2">
      <c r="A144" s="96" t="s">
        <v>637</v>
      </c>
      <c r="B144" s="57" t="s">
        <v>640</v>
      </c>
      <c r="C144" s="69">
        <v>15410</v>
      </c>
    </row>
    <row r="145" spans="1:3" x14ac:dyDescent="0.2">
      <c r="A145" s="96" t="s">
        <v>637</v>
      </c>
      <c r="B145" s="57" t="s">
        <v>641</v>
      </c>
      <c r="C145" s="69"/>
    </row>
    <row r="146" spans="1:3" x14ac:dyDescent="0.2">
      <c r="A146" s="96" t="s">
        <v>637</v>
      </c>
      <c r="B146" s="57" t="s">
        <v>642</v>
      </c>
      <c r="C146" s="69">
        <v>15410</v>
      </c>
    </row>
    <row r="147" spans="1:3" x14ac:dyDescent="0.2">
      <c r="A147" s="96" t="s">
        <v>637</v>
      </c>
      <c r="B147" s="57" t="s">
        <v>643</v>
      </c>
      <c r="C147" s="69"/>
    </row>
    <row r="148" spans="1:3" x14ac:dyDescent="0.2">
      <c r="A148" s="96" t="s">
        <v>637</v>
      </c>
      <c r="B148" s="57" t="s">
        <v>644</v>
      </c>
      <c r="C148" s="69">
        <v>13910</v>
      </c>
    </row>
    <row r="149" spans="1:3" x14ac:dyDescent="0.2">
      <c r="A149" s="96" t="s">
        <v>637</v>
      </c>
      <c r="B149" s="57" t="s">
        <v>645</v>
      </c>
      <c r="C149" s="69"/>
    </row>
    <row r="150" spans="1:3" x14ac:dyDescent="0.2">
      <c r="A150" s="96" t="s">
        <v>637</v>
      </c>
      <c r="B150" s="57" t="s">
        <v>646</v>
      </c>
      <c r="C150" s="69">
        <v>7102</v>
      </c>
    </row>
    <row r="151" spans="1:3" x14ac:dyDescent="0.2">
      <c r="A151" s="96" t="s">
        <v>637</v>
      </c>
      <c r="B151" s="57" t="s">
        <v>647</v>
      </c>
      <c r="C151" s="69"/>
    </row>
    <row r="152" spans="1:3" x14ac:dyDescent="0.2">
      <c r="A152" s="96" t="s">
        <v>637</v>
      </c>
      <c r="B152" s="57" t="s">
        <v>648</v>
      </c>
      <c r="C152" s="69">
        <v>18218</v>
      </c>
    </row>
    <row r="153" spans="1:3" x14ac:dyDescent="0.2">
      <c r="A153" s="96" t="s">
        <v>637</v>
      </c>
      <c r="B153" s="57" t="s">
        <v>649</v>
      </c>
      <c r="C153" s="69"/>
    </row>
    <row r="154" spans="1:3" x14ac:dyDescent="0.2">
      <c r="A154" s="96"/>
      <c r="B154" s="57"/>
      <c r="C154" s="69"/>
    </row>
    <row r="155" spans="1:3" x14ac:dyDescent="0.2">
      <c r="A155" s="96"/>
      <c r="B155" s="57"/>
      <c r="C155" s="69"/>
    </row>
    <row r="156" spans="1:3" x14ac:dyDescent="0.2">
      <c r="A156" s="96"/>
      <c r="B156" s="57"/>
      <c r="C156" s="69"/>
    </row>
    <row r="157" spans="1:3" x14ac:dyDescent="0.2">
      <c r="A157" s="96"/>
      <c r="B157" s="57"/>
      <c r="C157" s="69"/>
    </row>
    <row r="158" spans="1:3" x14ac:dyDescent="0.2">
      <c r="A158" s="96"/>
      <c r="B158" s="57"/>
      <c r="C158" s="69"/>
    </row>
    <row r="159" spans="1:3" x14ac:dyDescent="0.2">
      <c r="A159" s="96"/>
      <c r="B159" s="57"/>
      <c r="C159" s="69"/>
    </row>
    <row r="160" spans="1:3" ht="13.5" thickBot="1" x14ac:dyDescent="0.25">
      <c r="A160" s="24"/>
      <c r="B160" s="58"/>
      <c r="C160" s="14"/>
    </row>
    <row r="161" spans="1:3" ht="13.5" thickBot="1" x14ac:dyDescent="0.25">
      <c r="A161" s="26"/>
      <c r="B161" s="57"/>
      <c r="C161" s="29"/>
    </row>
    <row r="162" spans="1:3" x14ac:dyDescent="0.2">
      <c r="A162" s="10"/>
      <c r="B162" s="112" t="s">
        <v>27</v>
      </c>
      <c r="C162" s="113">
        <f>SUM(C163:C166)</f>
        <v>4947.08</v>
      </c>
    </row>
    <row r="163" spans="1:3" x14ac:dyDescent="0.2">
      <c r="A163" s="70">
        <v>45243</v>
      </c>
      <c r="B163" s="57" t="s">
        <v>635</v>
      </c>
      <c r="C163" s="71">
        <f>2320+1119.08+1508</f>
        <v>4947.08</v>
      </c>
    </row>
    <row r="164" spans="1:3" x14ac:dyDescent="0.2">
      <c r="A164" s="70"/>
      <c r="B164" s="57"/>
      <c r="C164" s="71"/>
    </row>
    <row r="165" spans="1:3" x14ac:dyDescent="0.2">
      <c r="A165" s="70"/>
      <c r="B165" s="57"/>
      <c r="C165" s="71"/>
    </row>
    <row r="166" spans="1:3" ht="13.5" thickBot="1" x14ac:dyDescent="0.25">
      <c r="A166" s="59"/>
      <c r="B166" s="13"/>
      <c r="C166" s="14"/>
    </row>
    <row r="167" spans="1:3" x14ac:dyDescent="0.2">
      <c r="A167" s="2"/>
    </row>
    <row r="168" spans="1:3" ht="13.5" thickBot="1" x14ac:dyDescent="0.25">
      <c r="A168" s="28"/>
      <c r="B168" s="8"/>
      <c r="C168" s="8"/>
    </row>
    <row r="169" spans="1:3" x14ac:dyDescent="0.2">
      <c r="A169" s="118"/>
      <c r="B169" s="119" t="s">
        <v>0</v>
      </c>
      <c r="C169" s="120">
        <f>SUM(C170:C174)</f>
        <v>0</v>
      </c>
    </row>
    <row r="170" spans="1:3" x14ac:dyDescent="0.2">
      <c r="A170" s="130"/>
      <c r="B170" s="135"/>
      <c r="C170" s="131"/>
    </row>
    <row r="171" spans="1:3" x14ac:dyDescent="0.2">
      <c r="A171" s="137"/>
      <c r="B171" s="85"/>
      <c r="C171" s="136"/>
    </row>
    <row r="172" spans="1:3" x14ac:dyDescent="0.2">
      <c r="A172" s="137"/>
      <c r="B172" s="85"/>
      <c r="C172" s="136"/>
    </row>
    <row r="173" spans="1:3" x14ac:dyDescent="0.2">
      <c r="A173" s="137"/>
      <c r="B173" s="85"/>
      <c r="C173" s="136"/>
    </row>
    <row r="174" spans="1:3" x14ac:dyDescent="0.2">
      <c r="A174" s="132"/>
      <c r="B174" s="133"/>
      <c r="C174" s="134"/>
    </row>
    <row r="176" spans="1:3" x14ac:dyDescent="0.2">
      <c r="A176"/>
    </row>
    <row r="177" spans="1:1" x14ac:dyDescent="0.2">
      <c r="A177"/>
    </row>
    <row r="178" spans="1:1" x14ac:dyDescent="0.2">
      <c r="A178"/>
    </row>
    <row r="179" spans="1:1" x14ac:dyDescent="0.2">
      <c r="A179"/>
    </row>
    <row r="180" spans="1:1" x14ac:dyDescent="0.2">
      <c r="A180" s="25"/>
    </row>
  </sheetData>
  <mergeCells count="1">
    <mergeCell ref="A2:B2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C161"/>
  <sheetViews>
    <sheetView workbookViewId="0">
      <selection activeCell="A98" sqref="A98:C101"/>
    </sheetView>
  </sheetViews>
  <sheetFormatPr defaultRowHeight="12.75" x14ac:dyDescent="0.2"/>
  <cols>
    <col min="1" max="1" width="10.140625" style="22" bestFit="1" customWidth="1"/>
    <col min="2" max="2" width="84.28515625" customWidth="1"/>
    <col min="3" max="3" width="18.42578125" customWidth="1"/>
  </cols>
  <sheetData>
    <row r="1" spans="1:3" ht="13.5" thickBot="1" x14ac:dyDescent="0.25">
      <c r="A1"/>
    </row>
    <row r="2" spans="1:3" ht="13.5" thickBot="1" x14ac:dyDescent="0.25">
      <c r="A2" s="147" t="s">
        <v>73</v>
      </c>
      <c r="B2" s="148"/>
      <c r="C2" s="20">
        <f>C4+C54</f>
        <v>0</v>
      </c>
    </row>
    <row r="3" spans="1:3" ht="13.5" thickBot="1" x14ac:dyDescent="0.25">
      <c r="A3" s="16" t="s">
        <v>20</v>
      </c>
      <c r="B3" s="15" t="s">
        <v>21</v>
      </c>
      <c r="C3" s="17" t="s">
        <v>22</v>
      </c>
    </row>
    <row r="4" spans="1:3" ht="13.5" thickBot="1" x14ac:dyDescent="0.25">
      <c r="A4" s="114"/>
      <c r="B4" s="115" t="s">
        <v>23</v>
      </c>
      <c r="C4" s="116">
        <f>C5+C8+C11+C14+C17+C21+C24+C28+C34+C38+C41+C44+C47</f>
        <v>0</v>
      </c>
    </row>
    <row r="5" spans="1:3" x14ac:dyDescent="0.2">
      <c r="A5" s="10"/>
      <c r="B5" s="112" t="s">
        <v>36</v>
      </c>
      <c r="C5" s="113">
        <f>SUM(C6:C6)</f>
        <v>0</v>
      </c>
    </row>
    <row r="6" spans="1:3" ht="13.5" thickBot="1" x14ac:dyDescent="0.25">
      <c r="A6" s="12"/>
      <c r="B6" s="13"/>
      <c r="C6" s="14"/>
    </row>
    <row r="7" spans="1:3" ht="13.5" thickBot="1" x14ac:dyDescent="0.25">
      <c r="A7" s="21"/>
      <c r="B7" s="11"/>
      <c r="C7" s="29"/>
    </row>
    <row r="8" spans="1:3" x14ac:dyDescent="0.2">
      <c r="A8" s="10"/>
      <c r="B8" s="112" t="s">
        <v>47</v>
      </c>
      <c r="C8" s="113">
        <f>C9</f>
        <v>0</v>
      </c>
    </row>
    <row r="9" spans="1:3" ht="13.5" thickBot="1" x14ac:dyDescent="0.25">
      <c r="A9" s="12"/>
      <c r="B9" s="13"/>
      <c r="C9" s="14"/>
    </row>
    <row r="10" spans="1:3" ht="13.5" thickBot="1" x14ac:dyDescent="0.25">
      <c r="A10" s="21"/>
      <c r="B10" s="11"/>
      <c r="C10" s="29"/>
    </row>
    <row r="11" spans="1:3" x14ac:dyDescent="0.2">
      <c r="A11" s="10"/>
      <c r="B11" s="112" t="s">
        <v>48</v>
      </c>
      <c r="C11" s="113">
        <v>0</v>
      </c>
    </row>
    <row r="12" spans="1:3" ht="13.5" thickBot="1" x14ac:dyDescent="0.25">
      <c r="A12" s="12"/>
      <c r="B12" s="13"/>
      <c r="C12" s="14"/>
    </row>
    <row r="13" spans="1:3" ht="13.5" thickBot="1" x14ac:dyDescent="0.25">
      <c r="A13" s="2"/>
      <c r="C13" s="4"/>
    </row>
    <row r="14" spans="1:3" x14ac:dyDescent="0.2">
      <c r="A14" s="10"/>
      <c r="B14" s="112" t="s">
        <v>24</v>
      </c>
      <c r="C14" s="113">
        <f>C15</f>
        <v>0</v>
      </c>
    </row>
    <row r="15" spans="1:3" ht="13.5" thickBot="1" x14ac:dyDescent="0.25">
      <c r="A15" s="12"/>
      <c r="B15" s="13"/>
      <c r="C15" s="14"/>
    </row>
    <row r="16" spans="1:3" ht="13.5" thickBot="1" x14ac:dyDescent="0.25">
      <c r="A16" s="2"/>
      <c r="C16" s="4"/>
    </row>
    <row r="17" spans="1:3" x14ac:dyDescent="0.2">
      <c r="A17" s="10"/>
      <c r="B17" s="112" t="s">
        <v>25</v>
      </c>
      <c r="C17" s="113">
        <f>SUM(C18:C19)</f>
        <v>0</v>
      </c>
    </row>
    <row r="18" spans="1:3" x14ac:dyDescent="0.2">
      <c r="A18" s="70"/>
      <c r="B18" s="57"/>
      <c r="C18" s="71"/>
    </row>
    <row r="19" spans="1:3" ht="13.5" thickBot="1" x14ac:dyDescent="0.25">
      <c r="A19" s="59"/>
      <c r="B19" s="13"/>
      <c r="C19" s="14"/>
    </row>
    <row r="20" spans="1:3" ht="13.5" thickBot="1" x14ac:dyDescent="0.25">
      <c r="A20" s="2"/>
      <c r="C20" s="4"/>
    </row>
    <row r="21" spans="1:3" x14ac:dyDescent="0.2">
      <c r="A21" s="10"/>
      <c r="B21" s="112" t="s">
        <v>19</v>
      </c>
      <c r="C21" s="113">
        <f>SUM(C22:C22)</f>
        <v>0</v>
      </c>
    </row>
    <row r="22" spans="1:3" ht="13.5" thickBot="1" x14ac:dyDescent="0.25">
      <c r="A22" s="12"/>
      <c r="B22" s="13"/>
      <c r="C22" s="14"/>
    </row>
    <row r="23" spans="1:3" ht="13.5" thickBot="1" x14ac:dyDescent="0.25">
      <c r="A23" s="2"/>
      <c r="C23" s="4"/>
    </row>
    <row r="24" spans="1:3" x14ac:dyDescent="0.2">
      <c r="A24" s="10"/>
      <c r="B24" s="112" t="s">
        <v>58</v>
      </c>
      <c r="C24" s="113">
        <f>SUM(C25:C26)</f>
        <v>0</v>
      </c>
    </row>
    <row r="25" spans="1:3" x14ac:dyDescent="0.2">
      <c r="A25" s="70"/>
      <c r="B25" s="57"/>
      <c r="C25" s="71"/>
    </row>
    <row r="26" spans="1:3" ht="13.5" thickBot="1" x14ac:dyDescent="0.25">
      <c r="A26" s="59"/>
      <c r="B26" s="58"/>
      <c r="C26" s="14"/>
    </row>
    <row r="27" spans="1:3" ht="13.5" thickBot="1" x14ac:dyDescent="0.25">
      <c r="A27" s="2"/>
    </row>
    <row r="28" spans="1:3" x14ac:dyDescent="0.2">
      <c r="A28" s="10"/>
      <c r="B28" s="112" t="s">
        <v>55</v>
      </c>
      <c r="C28" s="113">
        <f>SUM(C29:C32)</f>
        <v>0</v>
      </c>
    </row>
    <row r="29" spans="1:3" x14ac:dyDescent="0.2">
      <c r="A29" s="84"/>
      <c r="B29" s="57"/>
      <c r="C29" s="69"/>
    </row>
    <row r="30" spans="1:3" x14ac:dyDescent="0.2">
      <c r="A30" s="70"/>
      <c r="B30" s="57"/>
      <c r="C30" s="69"/>
    </row>
    <row r="31" spans="1:3" x14ac:dyDescent="0.2">
      <c r="A31" s="70"/>
      <c r="B31" s="57"/>
      <c r="C31" s="69"/>
    </row>
    <row r="32" spans="1:3" ht="13.5" thickBot="1" x14ac:dyDescent="0.25">
      <c r="A32" s="59"/>
      <c r="B32" s="58"/>
      <c r="C32" s="14"/>
    </row>
    <row r="33" spans="1:3" ht="13.5" thickBot="1" x14ac:dyDescent="0.25">
      <c r="A33" s="21"/>
      <c r="B33" s="57"/>
      <c r="C33" s="29"/>
    </row>
    <row r="34" spans="1:3" x14ac:dyDescent="0.2">
      <c r="A34" s="10"/>
      <c r="B34" s="112" t="s">
        <v>56</v>
      </c>
      <c r="C34" s="113">
        <f>SUM(C35:C36)</f>
        <v>0</v>
      </c>
    </row>
    <row r="35" spans="1:3" x14ac:dyDescent="0.2">
      <c r="A35" s="70"/>
      <c r="B35" s="57"/>
      <c r="C35" s="71"/>
    </row>
    <row r="36" spans="1:3" ht="13.5" thickBot="1" x14ac:dyDescent="0.25">
      <c r="A36" s="59"/>
      <c r="B36" s="58"/>
      <c r="C36" s="14"/>
    </row>
    <row r="37" spans="1:3" ht="13.5" thickBot="1" x14ac:dyDescent="0.25">
      <c r="A37" s="21"/>
      <c r="B37" s="57"/>
      <c r="C37" s="29"/>
    </row>
    <row r="38" spans="1:3" x14ac:dyDescent="0.2">
      <c r="A38" s="10"/>
      <c r="B38" s="112" t="s">
        <v>41</v>
      </c>
      <c r="C38" s="113">
        <f>SUM(C39)</f>
        <v>0</v>
      </c>
    </row>
    <row r="39" spans="1:3" ht="13.5" thickBot="1" x14ac:dyDescent="0.25">
      <c r="A39" s="12"/>
      <c r="B39" s="58"/>
      <c r="C39" s="14"/>
    </row>
    <row r="40" spans="1:3" ht="13.5" thickBot="1" x14ac:dyDescent="0.25">
      <c r="A40" s="2"/>
    </row>
    <row r="41" spans="1:3" x14ac:dyDescent="0.2">
      <c r="A41" s="10"/>
      <c r="B41" s="112" t="s">
        <v>28</v>
      </c>
      <c r="C41" s="113">
        <f>C42</f>
        <v>0</v>
      </c>
    </row>
    <row r="42" spans="1:3" ht="13.5" thickBot="1" x14ac:dyDescent="0.25">
      <c r="A42" s="59"/>
      <c r="B42" s="13"/>
      <c r="C42" s="14"/>
    </row>
    <row r="43" spans="1:3" ht="13.5" thickBot="1" x14ac:dyDescent="0.25">
      <c r="A43" s="2"/>
    </row>
    <row r="44" spans="1:3" x14ac:dyDescent="0.2">
      <c r="A44" s="10"/>
      <c r="B44" s="112" t="s">
        <v>57</v>
      </c>
      <c r="C44" s="113">
        <v>0</v>
      </c>
    </row>
    <row r="45" spans="1:3" ht="13.5" thickBot="1" x14ac:dyDescent="0.25">
      <c r="A45" s="12"/>
      <c r="B45" s="61"/>
      <c r="C45" s="14"/>
    </row>
    <row r="46" spans="1:3" ht="13.5" thickBot="1" x14ac:dyDescent="0.25">
      <c r="A46" s="2"/>
    </row>
    <row r="47" spans="1:3" x14ac:dyDescent="0.2">
      <c r="A47" s="10"/>
      <c r="B47" s="112" t="s">
        <v>27</v>
      </c>
      <c r="C47" s="113">
        <f>SUM(C48:C51)</f>
        <v>0</v>
      </c>
    </row>
    <row r="48" spans="1:3" x14ac:dyDescent="0.2">
      <c r="A48" s="70"/>
      <c r="B48" s="57"/>
      <c r="C48" s="69"/>
    </row>
    <row r="49" spans="1:3" x14ac:dyDescent="0.2">
      <c r="A49" s="70"/>
      <c r="B49" s="57"/>
      <c r="C49" s="69"/>
    </row>
    <row r="50" spans="1:3" x14ac:dyDescent="0.2">
      <c r="A50" s="70"/>
      <c r="B50" s="57"/>
      <c r="C50" s="69"/>
    </row>
    <row r="51" spans="1:3" ht="13.5" thickBot="1" x14ac:dyDescent="0.25">
      <c r="A51" s="59"/>
      <c r="B51" s="13"/>
      <c r="C51" s="14"/>
    </row>
    <row r="52" spans="1:3" x14ac:dyDescent="0.2">
      <c r="A52" s="2"/>
      <c r="B52" s="7"/>
    </row>
    <row r="53" spans="1:3" ht="13.5" thickBot="1" x14ac:dyDescent="0.25">
      <c r="A53" s="9"/>
      <c r="B53" s="8"/>
      <c r="C53" s="8"/>
    </row>
    <row r="54" spans="1:3" ht="13.5" thickBot="1" x14ac:dyDescent="0.25">
      <c r="A54" s="114"/>
      <c r="B54" s="115" t="s">
        <v>29</v>
      </c>
      <c r="C54" s="116">
        <f>C55+C58+C62+C65+C68+C71+C74+C77+C81+C84+C87+C90+C93+C97+C104+C110+C113+C122</f>
        <v>0</v>
      </c>
    </row>
    <row r="55" spans="1:3" x14ac:dyDescent="0.2">
      <c r="A55" s="10"/>
      <c r="B55" s="112" t="s">
        <v>26</v>
      </c>
      <c r="C55" s="113">
        <f>C56</f>
        <v>0</v>
      </c>
    </row>
    <row r="56" spans="1:3" ht="13.5" thickBot="1" x14ac:dyDescent="0.25">
      <c r="A56" s="12"/>
      <c r="B56" s="13"/>
      <c r="C56" s="14"/>
    </row>
    <row r="57" spans="1:3" ht="13.5" thickBot="1" x14ac:dyDescent="0.25">
      <c r="A57" s="2"/>
      <c r="C57" s="4"/>
    </row>
    <row r="58" spans="1:3" x14ac:dyDescent="0.2">
      <c r="A58" s="10"/>
      <c r="B58" s="112" t="s">
        <v>53</v>
      </c>
      <c r="C58" s="113">
        <f>SUM(C59:C60)</f>
        <v>0</v>
      </c>
    </row>
    <row r="59" spans="1:3" x14ac:dyDescent="0.2">
      <c r="A59" s="70"/>
      <c r="B59" s="57"/>
      <c r="C59" s="71"/>
    </row>
    <row r="60" spans="1:3" ht="13.5" thickBot="1" x14ac:dyDescent="0.25">
      <c r="A60" s="59"/>
      <c r="B60" s="58"/>
      <c r="C60" s="14"/>
    </row>
    <row r="61" spans="1:3" ht="13.5" thickBot="1" x14ac:dyDescent="0.25">
      <c r="A61" s="21"/>
      <c r="B61" s="60"/>
      <c r="C61" s="29"/>
    </row>
    <row r="62" spans="1:3" x14ac:dyDescent="0.2">
      <c r="A62" s="10"/>
      <c r="B62" s="112" t="s">
        <v>51</v>
      </c>
      <c r="C62" s="113">
        <f>SUM(C63)</f>
        <v>0</v>
      </c>
    </row>
    <row r="63" spans="1:3" ht="13.5" thickBot="1" x14ac:dyDescent="0.25">
      <c r="A63" s="12"/>
      <c r="B63" s="61"/>
      <c r="C63" s="14"/>
    </row>
    <row r="64" spans="1:3" ht="13.5" thickBot="1" x14ac:dyDescent="0.25">
      <c r="A64" s="21"/>
      <c r="B64" s="60"/>
      <c r="C64" s="29"/>
    </row>
    <row r="65" spans="1:3" x14ac:dyDescent="0.2">
      <c r="A65" s="10"/>
      <c r="B65" s="112" t="s">
        <v>49</v>
      </c>
      <c r="C65" s="113">
        <f>C66</f>
        <v>0</v>
      </c>
    </row>
    <row r="66" spans="1:3" ht="13.5" thickBot="1" x14ac:dyDescent="0.25">
      <c r="A66" s="12"/>
      <c r="B66" s="61"/>
      <c r="C66" s="14"/>
    </row>
    <row r="67" spans="1:3" ht="13.5" thickBot="1" x14ac:dyDescent="0.25">
      <c r="A67" s="21"/>
      <c r="B67" s="60"/>
      <c r="C67" s="29"/>
    </row>
    <row r="68" spans="1:3" x14ac:dyDescent="0.2">
      <c r="A68" s="10"/>
      <c r="B68" s="112" t="s">
        <v>75</v>
      </c>
      <c r="C68" s="113">
        <f>SUM(C69)</f>
        <v>0</v>
      </c>
    </row>
    <row r="69" spans="1:3" ht="13.5" thickBot="1" x14ac:dyDescent="0.25">
      <c r="A69" s="59"/>
      <c r="B69" s="58"/>
      <c r="C69" s="14"/>
    </row>
    <row r="70" spans="1:3" ht="13.5" thickBot="1" x14ac:dyDescent="0.25">
      <c r="A70" s="2"/>
    </row>
    <row r="71" spans="1:3" x14ac:dyDescent="0.2">
      <c r="A71" s="10"/>
      <c r="B71" s="112" t="s">
        <v>77</v>
      </c>
      <c r="C71" s="113">
        <f>C72</f>
        <v>0</v>
      </c>
    </row>
    <row r="72" spans="1:3" ht="13.5" thickBot="1" x14ac:dyDescent="0.25">
      <c r="A72" s="12"/>
      <c r="B72" s="13"/>
      <c r="C72" s="14"/>
    </row>
    <row r="73" spans="1:3" ht="13.5" thickBot="1" x14ac:dyDescent="0.25">
      <c r="A73" s="2"/>
      <c r="C73" s="1"/>
    </row>
    <row r="74" spans="1:3" x14ac:dyDescent="0.2">
      <c r="A74" s="10"/>
      <c r="B74" s="112" t="s">
        <v>78</v>
      </c>
      <c r="C74" s="113">
        <f>C75</f>
        <v>0</v>
      </c>
    </row>
    <row r="75" spans="1:3" ht="13.5" thickBot="1" x14ac:dyDescent="0.25">
      <c r="A75" s="12"/>
      <c r="B75" s="18"/>
      <c r="C75" s="14"/>
    </row>
    <row r="76" spans="1:3" ht="13.5" thickBot="1" x14ac:dyDescent="0.25">
      <c r="A76" s="2"/>
      <c r="C76" s="4"/>
    </row>
    <row r="77" spans="1:3" x14ac:dyDescent="0.2">
      <c r="A77" s="10"/>
      <c r="B77" s="112" t="s">
        <v>30</v>
      </c>
      <c r="C77" s="113">
        <f>SUM(C78:C79)</f>
        <v>0</v>
      </c>
    </row>
    <row r="78" spans="1:3" x14ac:dyDescent="0.2">
      <c r="A78" s="70"/>
      <c r="B78" s="57"/>
      <c r="C78" s="69"/>
    </row>
    <row r="79" spans="1:3" ht="13.5" thickBot="1" x14ac:dyDescent="0.25">
      <c r="A79" s="59"/>
      <c r="B79" s="13"/>
      <c r="C79" s="14"/>
    </row>
    <row r="80" spans="1:3" ht="13.5" thickBot="1" x14ac:dyDescent="0.25">
      <c r="A80" s="2"/>
      <c r="C80" s="4"/>
    </row>
    <row r="81" spans="1:3" x14ac:dyDescent="0.2">
      <c r="A81" s="10"/>
      <c r="B81" s="112" t="s">
        <v>18</v>
      </c>
      <c r="C81" s="113">
        <f>SUM(C82:C82)</f>
        <v>0</v>
      </c>
    </row>
    <row r="82" spans="1:3" ht="13.5" thickBot="1" x14ac:dyDescent="0.25">
      <c r="A82" s="12"/>
      <c r="B82" s="13"/>
      <c r="C82" s="14"/>
    </row>
    <row r="83" spans="1:3" ht="13.5" thickBot="1" x14ac:dyDescent="0.25">
      <c r="A83" s="2"/>
      <c r="C83" s="1"/>
    </row>
    <row r="84" spans="1:3" x14ac:dyDescent="0.2">
      <c r="A84" s="10"/>
      <c r="B84" s="112" t="s">
        <v>31</v>
      </c>
      <c r="C84" s="113">
        <f>SUM(C85:C85)</f>
        <v>0</v>
      </c>
    </row>
    <row r="85" spans="1:3" ht="13.5" thickBot="1" x14ac:dyDescent="0.25">
      <c r="A85" s="24"/>
      <c r="B85" s="13"/>
      <c r="C85" s="14"/>
    </row>
    <row r="86" spans="1:3" ht="13.5" thickBot="1" x14ac:dyDescent="0.25">
      <c r="A86" s="5"/>
      <c r="C86" s="1"/>
    </row>
    <row r="87" spans="1:3" x14ac:dyDescent="0.2">
      <c r="A87" s="10"/>
      <c r="B87" s="112" t="s">
        <v>32</v>
      </c>
      <c r="C87" s="113">
        <v>0</v>
      </c>
    </row>
    <row r="88" spans="1:3" ht="13.5" thickBot="1" x14ac:dyDescent="0.25">
      <c r="A88" s="12"/>
      <c r="B88" s="61"/>
      <c r="C88" s="14"/>
    </row>
    <row r="89" spans="1:3" ht="13.5" thickBot="1" x14ac:dyDescent="0.25">
      <c r="A89" s="2"/>
    </row>
    <row r="90" spans="1:3" x14ac:dyDescent="0.2">
      <c r="A90" s="10"/>
      <c r="B90" s="112" t="s">
        <v>33</v>
      </c>
      <c r="C90" s="113">
        <v>0</v>
      </c>
    </row>
    <row r="91" spans="1:3" ht="13.5" thickBot="1" x14ac:dyDescent="0.25">
      <c r="A91" s="12"/>
      <c r="B91" s="61"/>
      <c r="C91" s="14"/>
    </row>
    <row r="92" spans="1:3" ht="13.5" thickBot="1" x14ac:dyDescent="0.25">
      <c r="A92" s="2"/>
    </row>
    <row r="93" spans="1:3" x14ac:dyDescent="0.2">
      <c r="A93" s="10"/>
      <c r="B93" s="112" t="s">
        <v>34</v>
      </c>
      <c r="C93" s="113">
        <f>SUM(C94:C95)</f>
        <v>0</v>
      </c>
    </row>
    <row r="94" spans="1:3" x14ac:dyDescent="0.2">
      <c r="A94" s="70"/>
      <c r="B94" s="57"/>
      <c r="C94" s="69"/>
    </row>
    <row r="95" spans="1:3" ht="13.5" thickBot="1" x14ac:dyDescent="0.25">
      <c r="A95" s="59"/>
      <c r="B95" s="13"/>
      <c r="C95" s="14"/>
    </row>
    <row r="96" spans="1:3" ht="13.5" thickBot="1" x14ac:dyDescent="0.25">
      <c r="A96" s="2"/>
      <c r="C96" s="1"/>
    </row>
    <row r="97" spans="1:3" x14ac:dyDescent="0.2">
      <c r="A97" s="10"/>
      <c r="B97" s="112" t="s">
        <v>35</v>
      </c>
      <c r="C97" s="113">
        <f>SUM(C98:C102)</f>
        <v>0</v>
      </c>
    </row>
    <row r="98" spans="1:3" x14ac:dyDescent="0.2">
      <c r="A98" s="82"/>
      <c r="B98" s="57"/>
      <c r="C98" s="71"/>
    </row>
    <row r="99" spans="1:3" x14ac:dyDescent="0.2">
      <c r="A99" s="94"/>
      <c r="B99" s="57"/>
      <c r="C99" s="71"/>
    </row>
    <row r="100" spans="1:3" x14ac:dyDescent="0.2">
      <c r="A100" s="94"/>
      <c r="B100" s="57"/>
      <c r="C100" s="71"/>
    </row>
    <row r="101" spans="1:3" x14ac:dyDescent="0.2">
      <c r="A101" s="94"/>
      <c r="B101" s="57"/>
      <c r="C101" s="71"/>
    </row>
    <row r="102" spans="1:3" ht="13.5" thickBot="1" x14ac:dyDescent="0.25">
      <c r="A102" s="12"/>
      <c r="B102" s="13"/>
      <c r="C102" s="14"/>
    </row>
    <row r="103" spans="1:3" ht="13.5" thickBot="1" x14ac:dyDescent="0.25">
      <c r="A103" s="2"/>
      <c r="C103" s="1"/>
    </row>
    <row r="104" spans="1:3" x14ac:dyDescent="0.2">
      <c r="A104" s="10"/>
      <c r="B104" s="112" t="s">
        <v>37</v>
      </c>
      <c r="C104" s="113">
        <f>SUM(C105:C108)</f>
        <v>0</v>
      </c>
    </row>
    <row r="105" spans="1:3" x14ac:dyDescent="0.2">
      <c r="A105" s="84"/>
      <c r="B105" s="57"/>
      <c r="C105" s="71"/>
    </row>
    <row r="106" spans="1:3" x14ac:dyDescent="0.2">
      <c r="A106" s="70"/>
      <c r="B106" s="57"/>
      <c r="C106" s="71"/>
    </row>
    <row r="107" spans="1:3" x14ac:dyDescent="0.2">
      <c r="A107" s="70"/>
      <c r="B107" s="57"/>
      <c r="C107" s="71"/>
    </row>
    <row r="108" spans="1:3" ht="13.5" thickBot="1" x14ac:dyDescent="0.25">
      <c r="A108" s="59"/>
      <c r="B108" s="13"/>
      <c r="C108" s="14"/>
    </row>
    <row r="109" spans="1:3" ht="13.5" thickBot="1" x14ac:dyDescent="0.25">
      <c r="A109" s="21"/>
      <c r="B109" s="11"/>
      <c r="C109" s="29"/>
    </row>
    <row r="110" spans="1:3" x14ac:dyDescent="0.2">
      <c r="A110" s="10"/>
      <c r="B110" s="112" t="s">
        <v>54</v>
      </c>
      <c r="C110" s="113">
        <f>SUM(C111)</f>
        <v>0</v>
      </c>
    </row>
    <row r="111" spans="1:3" ht="13.5" thickBot="1" x14ac:dyDescent="0.25">
      <c r="A111" s="59"/>
      <c r="B111" s="58"/>
      <c r="C111" s="14"/>
    </row>
    <row r="112" spans="1:3" ht="13.5" thickBot="1" x14ac:dyDescent="0.25">
      <c r="A112" s="26"/>
      <c r="B112" s="57"/>
      <c r="C112" s="29"/>
    </row>
    <row r="113" spans="1:3" x14ac:dyDescent="0.2">
      <c r="A113" s="23"/>
      <c r="B113" s="112" t="s">
        <v>38</v>
      </c>
      <c r="C113" s="113">
        <f>SUM(C114:C120)</f>
        <v>0</v>
      </c>
    </row>
    <row r="114" spans="1:3" x14ac:dyDescent="0.2">
      <c r="A114" s="96"/>
      <c r="B114" s="57"/>
      <c r="C114" s="69"/>
    </row>
    <row r="115" spans="1:3" x14ac:dyDescent="0.2">
      <c r="A115" s="96"/>
      <c r="B115" s="57"/>
      <c r="C115" s="69"/>
    </row>
    <row r="116" spans="1:3" x14ac:dyDescent="0.2">
      <c r="A116" s="96"/>
      <c r="B116" s="57"/>
      <c r="C116" s="69"/>
    </row>
    <row r="117" spans="1:3" x14ac:dyDescent="0.2">
      <c r="A117" s="96"/>
      <c r="B117" s="57"/>
      <c r="C117" s="69"/>
    </row>
    <row r="118" spans="1:3" x14ac:dyDescent="0.2">
      <c r="A118" s="96"/>
      <c r="B118" s="57"/>
      <c r="C118" s="69"/>
    </row>
    <row r="119" spans="1:3" x14ac:dyDescent="0.2">
      <c r="A119" s="96"/>
      <c r="B119" s="57"/>
      <c r="C119" s="69"/>
    </row>
    <row r="120" spans="1:3" ht="13.5" thickBot="1" x14ac:dyDescent="0.25">
      <c r="A120" s="105"/>
      <c r="B120" s="58"/>
      <c r="C120" s="14"/>
    </row>
    <row r="121" spans="1:3" ht="13.5" thickBot="1" x14ac:dyDescent="0.25">
      <c r="A121" s="26"/>
      <c r="B121" s="57"/>
      <c r="C121" s="29"/>
    </row>
    <row r="122" spans="1:3" x14ac:dyDescent="0.2">
      <c r="A122" s="10"/>
      <c r="B122" s="112" t="s">
        <v>27</v>
      </c>
      <c r="C122" s="113">
        <f>SUM(C123:C127)</f>
        <v>0</v>
      </c>
    </row>
    <row r="123" spans="1:3" x14ac:dyDescent="0.2">
      <c r="A123" s="70"/>
      <c r="B123" s="57"/>
      <c r="C123" s="71"/>
    </row>
    <row r="124" spans="1:3" x14ac:dyDescent="0.2">
      <c r="A124" s="70"/>
      <c r="B124" s="57"/>
      <c r="C124" s="71"/>
    </row>
    <row r="125" spans="1:3" x14ac:dyDescent="0.2">
      <c r="A125" s="70"/>
      <c r="B125" s="57"/>
      <c r="C125" s="71"/>
    </row>
    <row r="126" spans="1:3" x14ac:dyDescent="0.2">
      <c r="A126" s="70"/>
      <c r="B126" s="57"/>
      <c r="C126" s="71"/>
    </row>
    <row r="127" spans="1:3" ht="13.5" thickBot="1" x14ac:dyDescent="0.25">
      <c r="A127" s="59"/>
      <c r="B127" s="13"/>
      <c r="C127" s="14"/>
    </row>
    <row r="128" spans="1:3" x14ac:dyDescent="0.2">
      <c r="A128" s="2"/>
    </row>
    <row r="129" spans="1:3" ht="13.5" thickBot="1" x14ac:dyDescent="0.25">
      <c r="A129" s="28"/>
      <c r="B129" s="8"/>
      <c r="C129" s="8"/>
    </row>
    <row r="130" spans="1:3" ht="13.5" thickBot="1" x14ac:dyDescent="0.25">
      <c r="A130" s="117"/>
      <c r="B130" s="115" t="s">
        <v>0</v>
      </c>
      <c r="C130" s="116">
        <f>SUM(C131:C131)</f>
        <v>0</v>
      </c>
    </row>
    <row r="131" spans="1:3" ht="13.5" thickBot="1" x14ac:dyDescent="0.25">
      <c r="A131" s="27"/>
      <c r="B131" s="63"/>
      <c r="C131" s="64"/>
    </row>
    <row r="133" spans="1:3" x14ac:dyDescent="0.2">
      <c r="A133"/>
    </row>
    <row r="134" spans="1:3" x14ac:dyDescent="0.2">
      <c r="A134"/>
    </row>
    <row r="135" spans="1:3" x14ac:dyDescent="0.2">
      <c r="A135"/>
    </row>
    <row r="136" spans="1:3" x14ac:dyDescent="0.2">
      <c r="A136"/>
    </row>
    <row r="137" spans="1:3" x14ac:dyDescent="0.2">
      <c r="A137" s="25"/>
    </row>
    <row r="139" spans="1:3" x14ac:dyDescent="0.2">
      <c r="A139"/>
    </row>
    <row r="140" spans="1:3" x14ac:dyDescent="0.2">
      <c r="A140"/>
    </row>
    <row r="141" spans="1:3" x14ac:dyDescent="0.2">
      <c r="A141"/>
    </row>
    <row r="142" spans="1:3" x14ac:dyDescent="0.2">
      <c r="A142"/>
    </row>
    <row r="143" spans="1:3" x14ac:dyDescent="0.2">
      <c r="A143"/>
    </row>
    <row r="144" spans="1:3" x14ac:dyDescent="0.2">
      <c r="A144"/>
    </row>
    <row r="145" spans="1:1" x14ac:dyDescent="0.2">
      <c r="A145"/>
    </row>
    <row r="146" spans="1:1" x14ac:dyDescent="0.2">
      <c r="A146"/>
    </row>
    <row r="147" spans="1:1" x14ac:dyDescent="0.2">
      <c r="A147"/>
    </row>
    <row r="148" spans="1:1" x14ac:dyDescent="0.2">
      <c r="A148"/>
    </row>
    <row r="149" spans="1:1" x14ac:dyDescent="0.2">
      <c r="A149"/>
    </row>
    <row r="150" spans="1:1" x14ac:dyDescent="0.2">
      <c r="A150"/>
    </row>
    <row r="151" spans="1:1" x14ac:dyDescent="0.2">
      <c r="A151"/>
    </row>
    <row r="152" spans="1:1" x14ac:dyDescent="0.2">
      <c r="A152"/>
    </row>
    <row r="153" spans="1:1" x14ac:dyDescent="0.2">
      <c r="A153"/>
    </row>
    <row r="154" spans="1:1" x14ac:dyDescent="0.2">
      <c r="A154"/>
    </row>
    <row r="155" spans="1:1" x14ac:dyDescent="0.2">
      <c r="A155" s="25"/>
    </row>
    <row r="156" spans="1:1" x14ac:dyDescent="0.2">
      <c r="A156" s="25"/>
    </row>
    <row r="157" spans="1:1" x14ac:dyDescent="0.2">
      <c r="A157" s="25"/>
    </row>
    <row r="158" spans="1:1" x14ac:dyDescent="0.2">
      <c r="A158" s="25"/>
    </row>
    <row r="159" spans="1:1" x14ac:dyDescent="0.2">
      <c r="A159" s="25"/>
    </row>
    <row r="160" spans="1:1" x14ac:dyDescent="0.2">
      <c r="A160" s="25"/>
    </row>
    <row r="161" spans="1:1" x14ac:dyDescent="0.2">
      <c r="A161" s="25"/>
    </row>
  </sheetData>
  <mergeCells count="1">
    <mergeCell ref="A2:B2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4" tint="-0.249977111117893"/>
  </sheetPr>
  <dimension ref="A1:Q45"/>
  <sheetViews>
    <sheetView tabSelected="1" topLeftCell="A13" zoomScale="115" zoomScaleNormal="115" workbookViewId="0">
      <selection activeCell="N8" sqref="N8"/>
    </sheetView>
  </sheetViews>
  <sheetFormatPr defaultRowHeight="12.75" x14ac:dyDescent="0.2"/>
  <cols>
    <col min="1" max="1" width="38.140625" customWidth="1"/>
    <col min="2" max="3" width="12" style="1" customWidth="1"/>
    <col min="4" max="6" width="12.5703125" style="1" customWidth="1"/>
    <col min="7" max="7" width="11.42578125" style="1" customWidth="1"/>
    <col min="8" max="8" width="12.42578125" style="1" customWidth="1"/>
    <col min="9" max="9" width="12.7109375" style="1" customWidth="1"/>
    <col min="10" max="10" width="13.140625" style="1" customWidth="1"/>
    <col min="11" max="11" width="12.85546875" style="1" customWidth="1"/>
    <col min="12" max="13" width="12.7109375" style="1" customWidth="1"/>
    <col min="14" max="14" width="14.140625" customWidth="1"/>
    <col min="15" max="16" width="12.7109375" bestFit="1" customWidth="1"/>
    <col min="17" max="17" width="10.140625" bestFit="1" customWidth="1"/>
  </cols>
  <sheetData>
    <row r="1" spans="1:17" ht="13.5" thickBot="1" x14ac:dyDescent="0.25">
      <c r="A1" s="149" t="s">
        <v>74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38"/>
    </row>
    <row r="2" spans="1:17" x14ac:dyDescent="0.2">
      <c r="A2" s="39"/>
      <c r="B2" s="40" t="s">
        <v>5</v>
      </c>
      <c r="C2" s="40" t="s">
        <v>6</v>
      </c>
      <c r="D2" s="40" t="s">
        <v>7</v>
      </c>
      <c r="E2" s="40" t="s">
        <v>8</v>
      </c>
      <c r="F2" s="40" t="s">
        <v>9</v>
      </c>
      <c r="G2" s="40" t="s">
        <v>10</v>
      </c>
      <c r="H2" s="40" t="s">
        <v>11</v>
      </c>
      <c r="I2" s="40" t="s">
        <v>12</v>
      </c>
      <c r="J2" s="40" t="s">
        <v>13</v>
      </c>
      <c r="K2" s="40" t="s">
        <v>14</v>
      </c>
      <c r="L2" s="40" t="s">
        <v>15</v>
      </c>
      <c r="M2" s="40" t="s">
        <v>16</v>
      </c>
      <c r="N2" s="41" t="s">
        <v>1</v>
      </c>
    </row>
    <row r="3" spans="1:17" x14ac:dyDescent="0.2">
      <c r="A3" s="48" t="s">
        <v>23</v>
      </c>
      <c r="B3" s="30">
        <f t="shared" ref="B3:M3" si="0">SUM(B4:B16)</f>
        <v>0</v>
      </c>
      <c r="C3" s="30">
        <f t="shared" si="0"/>
        <v>82962.285200000013</v>
      </c>
      <c r="D3" s="30">
        <f t="shared" si="0"/>
        <v>41356.300000000003</v>
      </c>
      <c r="E3" s="30">
        <f t="shared" si="0"/>
        <v>320226</v>
      </c>
      <c r="F3" s="30">
        <f t="shared" si="0"/>
        <v>44821.422400000003</v>
      </c>
      <c r="G3" s="30">
        <f t="shared" si="0"/>
        <v>138477.37</v>
      </c>
      <c r="H3" s="30">
        <f t="shared" si="0"/>
        <v>42720.710000000006</v>
      </c>
      <c r="I3" s="30">
        <f t="shared" si="0"/>
        <v>95058.69</v>
      </c>
      <c r="J3" s="30">
        <f t="shared" si="0"/>
        <v>173717.902</v>
      </c>
      <c r="K3" s="30">
        <f t="shared" si="0"/>
        <v>308434.75999999995</v>
      </c>
      <c r="L3" s="30">
        <f t="shared" si="0"/>
        <v>984506.34000000008</v>
      </c>
      <c r="M3" s="30">
        <f t="shared" si="0"/>
        <v>0</v>
      </c>
      <c r="N3" s="52">
        <f>SUM(N4:N16)</f>
        <v>2232281.7796</v>
      </c>
      <c r="O3" s="1"/>
      <c r="P3" s="1"/>
      <c r="Q3" s="1"/>
    </row>
    <row r="4" spans="1:17" x14ac:dyDescent="0.2">
      <c r="A4" s="66" t="s">
        <v>36</v>
      </c>
      <c r="B4" s="65">
        <f>'ENE23'!C5</f>
        <v>0</v>
      </c>
      <c r="C4" s="65">
        <f>'FEB23'!C5</f>
        <v>0</v>
      </c>
      <c r="D4" s="65">
        <f>'MAR23'!C5</f>
        <v>0</v>
      </c>
      <c r="E4" s="65">
        <f>'ABR23'!C5</f>
        <v>0</v>
      </c>
      <c r="F4" s="65">
        <f>'MAY23'!C5</f>
        <v>0</v>
      </c>
      <c r="G4" s="65">
        <f>'JUN23'!C5</f>
        <v>0</v>
      </c>
      <c r="H4" s="65">
        <f>'JUL23'!C5</f>
        <v>0</v>
      </c>
      <c r="I4" s="65">
        <f>'AGO23'!C5</f>
        <v>0</v>
      </c>
      <c r="J4" s="65">
        <f>'SEP23'!C5</f>
        <v>0</v>
      </c>
      <c r="K4" s="65">
        <f>'OCT23'!C5</f>
        <v>0</v>
      </c>
      <c r="L4" s="65">
        <f>'NOV23'!C5</f>
        <v>968856.53</v>
      </c>
      <c r="M4" s="65">
        <f>'DIC23'!C5</f>
        <v>0</v>
      </c>
      <c r="N4" s="33">
        <f>SUM(B4:M4)</f>
        <v>968856.53</v>
      </c>
      <c r="O4" s="1"/>
    </row>
    <row r="5" spans="1:17" x14ac:dyDescent="0.2">
      <c r="A5" s="32" t="s">
        <v>47</v>
      </c>
      <c r="B5" s="31">
        <f>'ENE23'!C8</f>
        <v>0</v>
      </c>
      <c r="C5" s="31">
        <f>'FEB23'!C10</f>
        <v>0</v>
      </c>
      <c r="D5" s="31">
        <f>'MAR23'!C10</f>
        <v>0</v>
      </c>
      <c r="E5" s="31">
        <f>'ABR23'!C10</f>
        <v>0</v>
      </c>
      <c r="F5" s="31">
        <f>'MAY23'!C9</f>
        <v>7491.45</v>
      </c>
      <c r="G5" s="31">
        <f>'JUN23'!C11</f>
        <v>0</v>
      </c>
      <c r="H5" s="31">
        <f>'JUL23'!C10</f>
        <v>9476.4600000000009</v>
      </c>
      <c r="I5" s="31">
        <f>'AGO23'!C9</f>
        <v>0</v>
      </c>
      <c r="J5" s="31">
        <f>'SEP23'!C9</f>
        <v>2400</v>
      </c>
      <c r="K5" s="31">
        <f>'OCT23'!C9</f>
        <v>2400</v>
      </c>
      <c r="L5" s="31">
        <f>'NOV23'!C8</f>
        <v>0</v>
      </c>
      <c r="M5" s="31">
        <f>'DIC23'!C8</f>
        <v>0</v>
      </c>
      <c r="N5" s="33">
        <f>SUM(B5:M5)</f>
        <v>21767.91</v>
      </c>
    </row>
    <row r="6" spans="1:17" x14ac:dyDescent="0.2">
      <c r="A6" s="32" t="s">
        <v>48</v>
      </c>
      <c r="B6" s="31">
        <f>'ENE23'!C11</f>
        <v>0</v>
      </c>
      <c r="C6" s="31">
        <f>'FEB23'!C15</f>
        <v>0</v>
      </c>
      <c r="D6" s="31">
        <f>'MAR23'!C19</f>
        <v>2128.0300000000002</v>
      </c>
      <c r="E6" s="31">
        <f>'ABR23'!C18</f>
        <v>0</v>
      </c>
      <c r="F6" s="31">
        <f>'MAY23'!C18</f>
        <v>1212.72</v>
      </c>
      <c r="G6" s="31">
        <f>'JUN23'!C18</f>
        <v>0</v>
      </c>
      <c r="H6" s="31">
        <f>'JUL23'!C16</f>
        <v>5125.0400000000009</v>
      </c>
      <c r="I6" s="31">
        <f>'AGO23'!C15</f>
        <v>750.1</v>
      </c>
      <c r="J6" s="31">
        <f>'SEP23'!C15</f>
        <v>1572.2</v>
      </c>
      <c r="K6" s="31">
        <f>'OCT23'!C16</f>
        <v>4406.53</v>
      </c>
      <c r="L6" s="31">
        <f>'NOV23'!C13</f>
        <v>0</v>
      </c>
      <c r="M6" s="31">
        <f>'DIC23'!C11</f>
        <v>0</v>
      </c>
      <c r="N6" s="33">
        <f>SUM(B6:M6)</f>
        <v>15194.620000000003</v>
      </c>
    </row>
    <row r="7" spans="1:17" x14ac:dyDescent="0.2">
      <c r="A7" s="32" t="s">
        <v>24</v>
      </c>
      <c r="B7" s="31">
        <f>'ENE23'!C15</f>
        <v>0</v>
      </c>
      <c r="C7" s="31">
        <f>'FEB23'!C22</f>
        <v>0</v>
      </c>
      <c r="D7" s="31">
        <f>'MAR23'!C24</f>
        <v>0</v>
      </c>
      <c r="E7" s="31">
        <f>'ABR23'!C22</f>
        <v>0</v>
      </c>
      <c r="F7" s="31">
        <f>'MAY23'!C26</f>
        <v>0</v>
      </c>
      <c r="G7" s="31">
        <f>'JUN23'!C22</f>
        <v>43200</v>
      </c>
      <c r="H7" s="31">
        <f>'JUL23'!C21</f>
        <v>0</v>
      </c>
      <c r="I7" s="31">
        <f>'AGO23'!C20</f>
        <v>0</v>
      </c>
      <c r="J7" s="31">
        <f>'SEP23'!C21</f>
        <v>0</v>
      </c>
      <c r="K7" s="31">
        <f>'OCT23'!C22</f>
        <v>0</v>
      </c>
      <c r="L7" s="31">
        <f>'NOV23'!C19</f>
        <v>0</v>
      </c>
      <c r="M7" s="31">
        <f>'DIC23'!C14</f>
        <v>0</v>
      </c>
      <c r="N7" s="33">
        <f t="shared" ref="N7:N16" si="1">SUM(B7:M7)</f>
        <v>43200</v>
      </c>
      <c r="O7" s="1"/>
    </row>
    <row r="8" spans="1:17" x14ac:dyDescent="0.2">
      <c r="A8" s="32" t="s">
        <v>25</v>
      </c>
      <c r="B8" s="31">
        <f>'ENE23'!C20</f>
        <v>0</v>
      </c>
      <c r="C8" s="31">
        <f>'FEB23'!C27</f>
        <v>51219.93</v>
      </c>
      <c r="D8" s="31">
        <f>'MAR23'!C28</f>
        <v>21315</v>
      </c>
      <c r="E8" s="31">
        <f>'ABR23'!C28</f>
        <v>300601.64</v>
      </c>
      <c r="F8" s="31">
        <f>'MAY23'!C31</f>
        <v>0</v>
      </c>
      <c r="G8" s="31">
        <f>'JUN23'!C27</f>
        <v>0</v>
      </c>
      <c r="H8" s="31">
        <f>'JUL23'!C24</f>
        <v>1119</v>
      </c>
      <c r="I8" s="31">
        <f>'AGO23'!C26</f>
        <v>59039.33</v>
      </c>
      <c r="J8" s="31">
        <f>'SEP23'!C25</f>
        <v>63719.8</v>
      </c>
      <c r="K8" s="31">
        <f>'OCT23'!C25</f>
        <v>91953.739999999991</v>
      </c>
      <c r="L8" s="31">
        <f>'NOV23'!C25</f>
        <v>281.43</v>
      </c>
      <c r="M8" s="31">
        <f>'DIC23'!C17</f>
        <v>0</v>
      </c>
      <c r="N8" s="33">
        <f t="shared" si="1"/>
        <v>589249.87</v>
      </c>
      <c r="O8" s="1"/>
    </row>
    <row r="9" spans="1:17" x14ac:dyDescent="0.2">
      <c r="A9" s="32" t="s">
        <v>19</v>
      </c>
      <c r="B9" s="31">
        <f>'ENE23'!C29</f>
        <v>0</v>
      </c>
      <c r="C9" s="31">
        <f>'FEB23'!C34</f>
        <v>0</v>
      </c>
      <c r="D9" s="31">
        <f>'MAR23'!C37</f>
        <v>3584.26</v>
      </c>
      <c r="E9" s="31">
        <f>'ABR23'!C37</f>
        <v>18195.060000000001</v>
      </c>
      <c r="F9" s="31">
        <f>'MAY23'!C40</f>
        <v>0</v>
      </c>
      <c r="G9" s="31">
        <f>'JUN23'!C35</f>
        <v>0</v>
      </c>
      <c r="H9" s="31">
        <f>'JUL23'!C31</f>
        <v>1426.48</v>
      </c>
      <c r="I9" s="31">
        <f>'AGO23'!C36</f>
        <v>6134.4000000000005</v>
      </c>
      <c r="J9" s="31">
        <f>'SEP23'!C32</f>
        <v>1841.04</v>
      </c>
      <c r="K9" s="31">
        <f>'OCT23'!C36</f>
        <v>559</v>
      </c>
      <c r="L9" s="31">
        <f>'NOV23'!C32</f>
        <v>4080</v>
      </c>
      <c r="M9" s="31">
        <f>'DIC23'!C21</f>
        <v>0</v>
      </c>
      <c r="N9" s="33">
        <f t="shared" si="1"/>
        <v>35820.240000000005</v>
      </c>
    </row>
    <row r="10" spans="1:17" x14ac:dyDescent="0.2">
      <c r="A10" s="32" t="s">
        <v>58</v>
      </c>
      <c r="B10" s="31">
        <f>'ENE23'!C34</f>
        <v>0</v>
      </c>
      <c r="C10" s="31">
        <f>'FEB23'!C40</f>
        <v>0</v>
      </c>
      <c r="D10" s="31">
        <f>'MAR23'!C45</f>
        <v>0</v>
      </c>
      <c r="E10" s="31">
        <f>'ABR23'!C45</f>
        <v>0</v>
      </c>
      <c r="F10" s="31">
        <f>'MAY23'!C46</f>
        <v>2300.6099999999997</v>
      </c>
      <c r="G10" s="31">
        <f>'JUN23'!C48</f>
        <v>0</v>
      </c>
      <c r="H10" s="31">
        <f>'JUL23'!C34</f>
        <v>17965.61</v>
      </c>
      <c r="I10" s="31">
        <f>'AGO23'!C44</f>
        <v>11226.41</v>
      </c>
      <c r="J10" s="31">
        <f>'SEP23'!C39</f>
        <v>12456.5</v>
      </c>
      <c r="K10" s="31">
        <f>'OCT23'!C42</f>
        <v>0</v>
      </c>
      <c r="L10" s="31">
        <f>'NOV23'!C37</f>
        <v>319.94</v>
      </c>
      <c r="M10" s="31">
        <f>'DIC23'!C24</f>
        <v>0</v>
      </c>
      <c r="N10" s="33">
        <f t="shared" si="1"/>
        <v>44269.070000000007</v>
      </c>
      <c r="O10" s="1"/>
    </row>
    <row r="11" spans="1:17" x14ac:dyDescent="0.2">
      <c r="A11" s="32" t="s">
        <v>55</v>
      </c>
      <c r="B11" s="31">
        <f>'ENE23'!C39</f>
        <v>0</v>
      </c>
      <c r="C11" s="31">
        <f>'FEB23'!C49</f>
        <v>22969.3452</v>
      </c>
      <c r="D11" s="31">
        <f>'MAR23'!C52</f>
        <v>14329.01</v>
      </c>
      <c r="E11" s="31">
        <f>'ABR23'!C52</f>
        <v>0</v>
      </c>
      <c r="F11" s="31">
        <f>'MAY23'!C54</f>
        <v>16564.82</v>
      </c>
      <c r="G11" s="31">
        <f>'JUN23'!C55</f>
        <v>9757.93</v>
      </c>
      <c r="H11" s="31">
        <f>'JUL23'!C40</f>
        <v>7328.76</v>
      </c>
      <c r="I11" s="31">
        <f>'AGO23'!C53</f>
        <v>2950</v>
      </c>
      <c r="J11" s="31">
        <f>'SEP23'!C48</f>
        <v>18992.82</v>
      </c>
      <c r="K11" s="31">
        <f>'OCT23'!C51</f>
        <v>192458.00999999998</v>
      </c>
      <c r="L11" s="31">
        <f>'NOV23'!C45</f>
        <v>9036.4</v>
      </c>
      <c r="M11" s="31">
        <f>'DIC23'!C28</f>
        <v>0</v>
      </c>
      <c r="N11" s="33">
        <f t="shared" si="1"/>
        <v>294387.09519999998</v>
      </c>
    </row>
    <row r="12" spans="1:17" x14ac:dyDescent="0.2">
      <c r="A12" s="32" t="s">
        <v>56</v>
      </c>
      <c r="B12" s="31">
        <f>'ENE23'!C44</f>
        <v>0</v>
      </c>
      <c r="C12" s="31">
        <f>'FEB23'!C59</f>
        <v>4168.55</v>
      </c>
      <c r="D12" s="31">
        <f>'MAR23'!C60</f>
        <v>0</v>
      </c>
      <c r="E12" s="31">
        <f>'ABR23'!C61</f>
        <v>0</v>
      </c>
      <c r="F12" s="31">
        <f>'MAY23'!C63</f>
        <v>0</v>
      </c>
      <c r="G12" s="31">
        <f>'JUN23'!C65</f>
        <v>8478</v>
      </c>
      <c r="H12" s="31">
        <f>'JUL23'!C51</f>
        <v>279.36</v>
      </c>
      <c r="I12" s="31">
        <f>'AGO23'!C64</f>
        <v>1645</v>
      </c>
      <c r="J12" s="31">
        <f>'SEP23'!C57</f>
        <v>22166.375999999997</v>
      </c>
      <c r="K12" s="31">
        <f>'OCT23'!C62</f>
        <v>11342.05</v>
      </c>
      <c r="L12" s="31">
        <f>'NOV23'!C53</f>
        <v>1932.04</v>
      </c>
      <c r="M12" s="31">
        <f>'DIC23'!C34</f>
        <v>0</v>
      </c>
      <c r="N12" s="33">
        <f t="shared" si="1"/>
        <v>50011.375999999997</v>
      </c>
    </row>
    <row r="13" spans="1:17" x14ac:dyDescent="0.2">
      <c r="A13" s="32" t="s">
        <v>42</v>
      </c>
      <c r="B13" s="31">
        <f>'ENE23'!C49</f>
        <v>0</v>
      </c>
      <c r="C13" s="31">
        <f>'FEB23'!C66</f>
        <v>0</v>
      </c>
      <c r="D13" s="31">
        <f>'MAR23'!C66</f>
        <v>0</v>
      </c>
      <c r="E13" s="31">
        <f>'ABR23'!C67</f>
        <v>0</v>
      </c>
      <c r="F13" s="31">
        <f>'MAY23'!C70</f>
        <v>0</v>
      </c>
      <c r="G13" s="31">
        <f>'JUN23'!C71</f>
        <v>0</v>
      </c>
      <c r="H13" s="31">
        <f>'JUL23'!C57</f>
        <v>0</v>
      </c>
      <c r="I13" s="31">
        <f>'AGO23'!C71</f>
        <v>0</v>
      </c>
      <c r="J13" s="31">
        <f>'SEP23'!C64</f>
        <v>0</v>
      </c>
      <c r="K13" s="31">
        <f>'OCT23'!C68</f>
        <v>0</v>
      </c>
      <c r="L13" s="31">
        <f>'NOV23'!C57</f>
        <v>0</v>
      </c>
      <c r="M13" s="31">
        <f>'DIC23'!C38</f>
        <v>0</v>
      </c>
      <c r="N13" s="33">
        <f>SUM(B13:M13)</f>
        <v>0</v>
      </c>
    </row>
    <row r="14" spans="1:17" x14ac:dyDescent="0.2">
      <c r="A14" s="32" t="s">
        <v>28</v>
      </c>
      <c r="B14" s="31">
        <f>'ENE23'!C52</f>
        <v>0</v>
      </c>
      <c r="C14" s="31">
        <f>'FEB23'!C69</f>
        <v>0</v>
      </c>
      <c r="D14" s="31">
        <f>'MAR23'!C70</f>
        <v>0</v>
      </c>
      <c r="E14" s="31">
        <f>'ABR23'!C75</f>
        <v>0</v>
      </c>
      <c r="F14" s="31">
        <f>'MAY23'!C76</f>
        <v>11861.502400000001</v>
      </c>
      <c r="G14" s="31">
        <f>'JUN23'!C74</f>
        <v>0</v>
      </c>
      <c r="H14" s="31">
        <f>'JUL23'!C61</f>
        <v>0</v>
      </c>
      <c r="I14" s="31">
        <f>'AGO23'!C80</f>
        <v>12287.92</v>
      </c>
      <c r="J14" s="31">
        <f>'SEP23'!C69</f>
        <v>44296.216</v>
      </c>
      <c r="K14" s="31">
        <f>'OCT23'!C73</f>
        <v>0</v>
      </c>
      <c r="L14" s="31">
        <f>'NOV23'!C60</f>
        <v>0</v>
      </c>
      <c r="M14" s="31">
        <f>'DIC23'!C41</f>
        <v>0</v>
      </c>
      <c r="N14" s="33">
        <f t="shared" si="1"/>
        <v>68445.638399999996</v>
      </c>
      <c r="O14" s="1"/>
    </row>
    <row r="15" spans="1:17" x14ac:dyDescent="0.2">
      <c r="A15" s="32" t="s">
        <v>57</v>
      </c>
      <c r="B15" s="31">
        <f>'ENE23'!C58</f>
        <v>0</v>
      </c>
      <c r="C15" s="31">
        <f>'FEB23'!C79</f>
        <v>0</v>
      </c>
      <c r="D15" s="31">
        <f>'MAR23'!C75</f>
        <v>0</v>
      </c>
      <c r="E15" s="31">
        <f>'ABR23'!C78</f>
        <v>0</v>
      </c>
      <c r="F15" s="31">
        <f>'MAY23'!C82</f>
        <v>0</v>
      </c>
      <c r="G15" s="31">
        <f>'JUN23'!C77</f>
        <v>0</v>
      </c>
      <c r="H15" s="31">
        <f>'JUL23'!C65</f>
        <v>0</v>
      </c>
      <c r="I15" s="31">
        <f>'AGO23'!C85</f>
        <v>0</v>
      </c>
      <c r="J15" s="31">
        <f>'SEP23'!C76</f>
        <v>0</v>
      </c>
      <c r="K15" s="31">
        <f>'OCT23'!C77</f>
        <v>0</v>
      </c>
      <c r="L15" s="31">
        <f>'NOV23'!C66</f>
        <v>0</v>
      </c>
      <c r="M15" s="31">
        <f>'DIC23'!C44</f>
        <v>0</v>
      </c>
      <c r="N15" s="33">
        <f t="shared" si="1"/>
        <v>0</v>
      </c>
    </row>
    <row r="16" spans="1:17" ht="13.5" thickBot="1" x14ac:dyDescent="0.25">
      <c r="A16" s="34" t="s">
        <v>27</v>
      </c>
      <c r="B16" s="35">
        <f>'ENE23'!C61</f>
        <v>0</v>
      </c>
      <c r="C16" s="35">
        <f>'FEB23'!C82</f>
        <v>4604.46</v>
      </c>
      <c r="D16" s="35">
        <f>'MAR23'!C80</f>
        <v>0</v>
      </c>
      <c r="E16" s="35">
        <f>'ABR23'!C81</f>
        <v>1429.3</v>
      </c>
      <c r="F16" s="35">
        <f>'MAY23'!C86</f>
        <v>5390.32</v>
      </c>
      <c r="G16" s="35">
        <f>'JUN23'!C80</f>
        <v>77041.440000000002</v>
      </c>
      <c r="H16" s="35">
        <f>'JUL23'!C68</f>
        <v>0</v>
      </c>
      <c r="I16" s="35">
        <f>'AGO23'!C89</f>
        <v>1025.53</v>
      </c>
      <c r="J16" s="35">
        <f>'SEP23'!C79</f>
        <v>6272.9500000000007</v>
      </c>
      <c r="K16" s="35">
        <f>'OCT23'!C82</f>
        <v>5315.43</v>
      </c>
      <c r="L16" s="35">
        <f>'NOV23'!C69</f>
        <v>0</v>
      </c>
      <c r="M16" s="35">
        <f>'DIC23'!C47</f>
        <v>0</v>
      </c>
      <c r="N16" s="36">
        <f t="shared" si="1"/>
        <v>101079.43</v>
      </c>
      <c r="O16" s="1"/>
    </row>
    <row r="17" spans="1:16" ht="13.5" thickBot="1" x14ac:dyDescent="0.25">
      <c r="A17" s="44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7"/>
    </row>
    <row r="18" spans="1:16" x14ac:dyDescent="0.2">
      <c r="A18" s="49" t="s">
        <v>29</v>
      </c>
      <c r="B18" s="37">
        <f t="shared" ref="B18:N18" si="2">SUM(B19:B36)</f>
        <v>86444.12</v>
      </c>
      <c r="C18" s="37">
        <f t="shared" si="2"/>
        <v>341948.28</v>
      </c>
      <c r="D18" s="37">
        <f t="shared" si="2"/>
        <v>786458.46</v>
      </c>
      <c r="E18" s="37">
        <f t="shared" si="2"/>
        <v>764099.48999999987</v>
      </c>
      <c r="F18" s="37">
        <f t="shared" si="2"/>
        <v>699878.3600000001</v>
      </c>
      <c r="G18" s="37">
        <f t="shared" si="2"/>
        <v>655400.38000000012</v>
      </c>
      <c r="H18" s="37">
        <f t="shared" si="2"/>
        <v>141353.78</v>
      </c>
      <c r="I18" s="37">
        <f t="shared" si="2"/>
        <v>617890.11</v>
      </c>
      <c r="J18" s="37">
        <f t="shared" si="2"/>
        <v>903396.7</v>
      </c>
      <c r="K18" s="37">
        <f t="shared" si="2"/>
        <v>2797520.0292000002</v>
      </c>
      <c r="L18" s="37">
        <f t="shared" si="2"/>
        <v>196133.38999999998</v>
      </c>
      <c r="M18" s="37">
        <f t="shared" si="2"/>
        <v>0</v>
      </c>
      <c r="N18" s="51">
        <f t="shared" si="2"/>
        <v>7990523.0991999991</v>
      </c>
      <c r="O18" s="1"/>
      <c r="P18" s="1"/>
    </row>
    <row r="19" spans="1:16" x14ac:dyDescent="0.2">
      <c r="A19" s="32" t="s">
        <v>3</v>
      </c>
      <c r="B19" s="31">
        <f>'ENE23'!C69</f>
        <v>0</v>
      </c>
      <c r="C19" s="31">
        <f>'FEB23'!C93</f>
        <v>32110</v>
      </c>
      <c r="D19" s="31">
        <f>'MAR23'!C88</f>
        <v>0</v>
      </c>
      <c r="E19" s="31">
        <f>'ABR23'!C94</f>
        <v>0</v>
      </c>
      <c r="F19" s="31">
        <f>'MAY23'!C96</f>
        <v>234830.4</v>
      </c>
      <c r="G19" s="31">
        <f>'JUN23'!C91</f>
        <v>0</v>
      </c>
      <c r="H19" s="31">
        <f>'JUL23'!C75</f>
        <v>18676</v>
      </c>
      <c r="I19" s="31">
        <f>'AGO23'!C98</f>
        <v>0</v>
      </c>
      <c r="J19" s="31">
        <f>'SEP23'!C88</f>
        <v>0</v>
      </c>
      <c r="K19" s="31">
        <f>'OCT23'!C95</f>
        <v>299980</v>
      </c>
      <c r="L19" s="31">
        <f>'NOV23'!C77</f>
        <v>4000</v>
      </c>
      <c r="M19" s="31">
        <f>'DIC23'!C55</f>
        <v>0</v>
      </c>
      <c r="N19" s="33">
        <f>SUM(B19:M19)</f>
        <v>589596.4</v>
      </c>
      <c r="O19" s="1"/>
    </row>
    <row r="20" spans="1:16" x14ac:dyDescent="0.2">
      <c r="A20" s="32" t="s">
        <v>2</v>
      </c>
      <c r="B20" s="31">
        <f>'ENE23'!C73</f>
        <v>0</v>
      </c>
      <c r="C20" s="31">
        <f>'FEB23'!C101</f>
        <v>0</v>
      </c>
      <c r="D20" s="31">
        <f>'MAR23'!C95</f>
        <v>0</v>
      </c>
      <c r="E20" s="31">
        <f>'ABR23'!C102</f>
        <v>0</v>
      </c>
      <c r="F20" s="31">
        <f>'MAY23'!C103</f>
        <v>0</v>
      </c>
      <c r="G20" s="31">
        <f>'JUN23'!C97</f>
        <v>0</v>
      </c>
      <c r="H20" s="31">
        <f>'JUL23'!C80</f>
        <v>0</v>
      </c>
      <c r="I20" s="31">
        <f>'AGO23'!C105</f>
        <v>0</v>
      </c>
      <c r="J20" s="31">
        <f>'SEP23'!C95</f>
        <v>0</v>
      </c>
      <c r="K20" s="31">
        <f>'OCT23'!C102</f>
        <v>0</v>
      </c>
      <c r="L20" s="31">
        <f>'NOV23'!C83</f>
        <v>0</v>
      </c>
      <c r="M20" s="31">
        <f>'DIC23'!C58</f>
        <v>0</v>
      </c>
      <c r="N20" s="33">
        <f t="shared" ref="N20:N36" si="3">SUM(B20:M20)</f>
        <v>0</v>
      </c>
    </row>
    <row r="21" spans="1:16" x14ac:dyDescent="0.2">
      <c r="A21" s="32" t="s">
        <v>43</v>
      </c>
      <c r="B21" s="31">
        <f>'ENE23'!C77</f>
        <v>0</v>
      </c>
      <c r="C21" s="31">
        <f>'FEB23'!C104</f>
        <v>0</v>
      </c>
      <c r="D21" s="31">
        <f>'MAR23'!C98</f>
        <v>0</v>
      </c>
      <c r="E21" s="31">
        <f>'ABR23'!C108</f>
        <v>0</v>
      </c>
      <c r="F21" s="31">
        <f>'MAY23'!C109</f>
        <v>0</v>
      </c>
      <c r="G21" s="31">
        <f>'JUN23'!C101</f>
        <v>0</v>
      </c>
      <c r="H21" s="31">
        <f>'JUL23'!C84</f>
        <v>0</v>
      </c>
      <c r="I21" s="31">
        <f>'AGO23'!C111</f>
        <v>0</v>
      </c>
      <c r="J21" s="31">
        <f>'SEP23'!C100</f>
        <v>0</v>
      </c>
      <c r="K21" s="31">
        <f>'OCT23'!C112</f>
        <v>0</v>
      </c>
      <c r="L21" s="31">
        <f>'NOV23'!C87</f>
        <v>0</v>
      </c>
      <c r="M21" s="31">
        <f>'DIC23'!C62</f>
        <v>0</v>
      </c>
      <c r="N21" s="33">
        <f>SUM(B21:M21)</f>
        <v>0</v>
      </c>
    </row>
    <row r="22" spans="1:16" x14ac:dyDescent="0.2">
      <c r="A22" s="32" t="s">
        <v>39</v>
      </c>
      <c r="B22" s="31">
        <f>'ENE23'!C80</f>
        <v>0</v>
      </c>
      <c r="C22" s="31">
        <f>'FEB23'!C107</f>
        <v>0</v>
      </c>
      <c r="D22" s="31">
        <f>'MAR23'!C101</f>
        <v>0</v>
      </c>
      <c r="E22" s="31">
        <f>'ABR23'!C111</f>
        <v>0</v>
      </c>
      <c r="F22" s="31">
        <f>'MAY23'!C112</f>
        <v>0</v>
      </c>
      <c r="G22" s="31">
        <f>'JUN23'!C104</f>
        <v>24667.200000000001</v>
      </c>
      <c r="H22" s="31">
        <f>'JUL23'!C88</f>
        <v>0</v>
      </c>
      <c r="I22" s="31">
        <f>'AGO23'!C114</f>
        <v>696</v>
      </c>
      <c r="J22" s="31">
        <f>'SEP23'!C103</f>
        <v>0</v>
      </c>
      <c r="K22" s="31">
        <f>'OCT23'!C115</f>
        <v>1890</v>
      </c>
      <c r="L22" s="31">
        <f>'NOV23'!C90</f>
        <v>0</v>
      </c>
      <c r="M22" s="31">
        <f>'DIC23'!C65</f>
        <v>0</v>
      </c>
      <c r="N22" s="33">
        <f t="shared" si="3"/>
        <v>27253.200000000001</v>
      </c>
    </row>
    <row r="23" spans="1:16" x14ac:dyDescent="0.2">
      <c r="A23" s="32" t="s">
        <v>76</v>
      </c>
      <c r="B23" s="31">
        <f>'ENE23'!C83</f>
        <v>0</v>
      </c>
      <c r="C23" s="31">
        <f>'FEB23'!C116</f>
        <v>0</v>
      </c>
      <c r="D23" s="31">
        <f>'MAR23'!C104</f>
        <v>0</v>
      </c>
      <c r="E23" s="31">
        <f>'ABR23'!C116</f>
        <v>4958.28</v>
      </c>
      <c r="F23" s="31">
        <f>'MAY23'!C117</f>
        <v>2808</v>
      </c>
      <c r="G23" s="31">
        <f>'JUN23'!C108</f>
        <v>0</v>
      </c>
      <c r="H23" s="31">
        <f>'JUL23'!C91</f>
        <v>0</v>
      </c>
      <c r="I23" s="31">
        <f>'AGO23'!C118</f>
        <v>0</v>
      </c>
      <c r="J23" s="31">
        <f>'SEP23'!C106</f>
        <v>0</v>
      </c>
      <c r="K23" s="31">
        <f>'OCT23'!C121</f>
        <v>0</v>
      </c>
      <c r="L23" s="31">
        <f>'NOV23'!C93</f>
        <v>0</v>
      </c>
      <c r="M23" s="31">
        <f>'DIC23'!C68</f>
        <v>0</v>
      </c>
      <c r="N23" s="33">
        <f>SUM(B23:M23)</f>
        <v>7766.28</v>
      </c>
    </row>
    <row r="24" spans="1:16" x14ac:dyDescent="0.2">
      <c r="A24" s="32" t="s">
        <v>77</v>
      </c>
      <c r="B24" s="31">
        <f>'ENE23'!C86</f>
        <v>0</v>
      </c>
      <c r="C24" s="31">
        <f>'FEB23'!C119</f>
        <v>0</v>
      </c>
      <c r="D24" s="31">
        <f>'MAR23'!C107</f>
        <v>496154.73</v>
      </c>
      <c r="E24" s="31">
        <f>'ABR23'!C119</f>
        <v>273225.53999999998</v>
      </c>
      <c r="F24" s="31">
        <f>'MAY23'!C120</f>
        <v>253369.62</v>
      </c>
      <c r="G24" s="31">
        <f>'JUN23'!C112</f>
        <v>107587.46</v>
      </c>
      <c r="H24" s="31">
        <f>'JUL23'!C94</f>
        <v>0</v>
      </c>
      <c r="I24" s="31">
        <f>'AGO23'!C121</f>
        <v>232481.66</v>
      </c>
      <c r="J24" s="31">
        <f>'SEP23'!C109</f>
        <v>422036.29000000004</v>
      </c>
      <c r="K24" s="31">
        <f>'OCT23'!C124</f>
        <v>1202787.46</v>
      </c>
      <c r="L24" s="31">
        <f>'NOV23'!C96</f>
        <v>0</v>
      </c>
      <c r="M24" s="31">
        <f>'DIC23'!C71</f>
        <v>0</v>
      </c>
      <c r="N24" s="33">
        <f t="shared" si="3"/>
        <v>2987642.76</v>
      </c>
    </row>
    <row r="25" spans="1:16" x14ac:dyDescent="0.2">
      <c r="A25" s="32" t="s">
        <v>78</v>
      </c>
      <c r="B25" s="31">
        <f>'ENE23'!C89</f>
        <v>0</v>
      </c>
      <c r="C25" s="31">
        <f>'FEB23'!C125</f>
        <v>199942.59</v>
      </c>
      <c r="D25" s="31">
        <f>'MAR23'!C111</f>
        <v>201205.49</v>
      </c>
      <c r="E25" s="31">
        <f>'ABR23'!C122</f>
        <v>400220.14</v>
      </c>
      <c r="F25" s="31">
        <f>'MAY23'!C124</f>
        <v>0</v>
      </c>
      <c r="G25" s="31">
        <f>'JUN23'!C118</f>
        <v>412899.5</v>
      </c>
      <c r="H25" s="31">
        <f>'JUL23'!C97</f>
        <v>0</v>
      </c>
      <c r="I25" s="31">
        <f>'AGO23'!C124</f>
        <v>201205.48</v>
      </c>
      <c r="J25" s="31">
        <f>'SEP23'!C115</f>
        <v>201205.5</v>
      </c>
      <c r="K25" s="31">
        <f>'OCT23'!C132</f>
        <v>804821.95</v>
      </c>
      <c r="L25" s="31">
        <f>'NOV23'!C99</f>
        <v>0</v>
      </c>
      <c r="M25" s="31">
        <f>'DIC23'!C74</f>
        <v>0</v>
      </c>
      <c r="N25" s="33">
        <f t="shared" si="3"/>
        <v>2421500.65</v>
      </c>
    </row>
    <row r="26" spans="1:16" x14ac:dyDescent="0.2">
      <c r="A26" s="32" t="s">
        <v>30</v>
      </c>
      <c r="B26" s="31">
        <f>'ENE23'!C92</f>
        <v>0</v>
      </c>
      <c r="C26" s="31">
        <f>'FEB23'!C129</f>
        <v>0</v>
      </c>
      <c r="D26" s="31">
        <f>'MAR23'!C114</f>
        <v>0</v>
      </c>
      <c r="E26" s="31">
        <f>'ABR23'!C126</f>
        <v>0</v>
      </c>
      <c r="F26" s="31">
        <f>'MAY23'!C127</f>
        <v>11600</v>
      </c>
      <c r="G26" s="31">
        <f>'JUN23'!C122</f>
        <v>0</v>
      </c>
      <c r="H26" s="31">
        <f>'JUL23'!C100</f>
        <v>11600</v>
      </c>
      <c r="I26" s="31">
        <f>'AGO23'!C127</f>
        <v>0</v>
      </c>
      <c r="J26" s="31">
        <f>'SEP23'!C118</f>
        <v>17400</v>
      </c>
      <c r="K26" s="31">
        <f>'OCT23'!C139</f>
        <v>0</v>
      </c>
      <c r="L26" s="31">
        <f>'NOV23'!C102</f>
        <v>0</v>
      </c>
      <c r="M26" s="31">
        <f>'DIC23'!C77</f>
        <v>0</v>
      </c>
      <c r="N26" s="33">
        <f t="shared" si="3"/>
        <v>40600</v>
      </c>
    </row>
    <row r="27" spans="1:16" x14ac:dyDescent="0.2">
      <c r="A27" s="32" t="s">
        <v>18</v>
      </c>
      <c r="B27" s="31">
        <f>'ENE23'!C95</f>
        <v>0</v>
      </c>
      <c r="C27" s="31">
        <f>'FEB23'!C133</f>
        <v>0</v>
      </c>
      <c r="D27" s="31">
        <f>'MAR23'!C119</f>
        <v>0</v>
      </c>
      <c r="E27" s="31">
        <f>'ABR23'!C131</f>
        <v>0</v>
      </c>
      <c r="F27" s="31">
        <f>'MAY23'!C132</f>
        <v>2811</v>
      </c>
      <c r="G27" s="31">
        <f>'JUN23'!C126</f>
        <v>0</v>
      </c>
      <c r="H27" s="31">
        <f>'JUL23'!C106</f>
        <v>5120</v>
      </c>
      <c r="I27" s="31">
        <f>'AGO23'!C132</f>
        <v>0</v>
      </c>
      <c r="J27" s="31">
        <f>'SEP23'!C122</f>
        <v>0</v>
      </c>
      <c r="K27" s="31">
        <f>'OCT23'!C145</f>
        <v>2629</v>
      </c>
      <c r="L27" s="31">
        <f>'NOV23'!C107</f>
        <v>0</v>
      </c>
      <c r="M27" s="31">
        <f>'DIC23'!C81</f>
        <v>0</v>
      </c>
      <c r="N27" s="33">
        <f t="shared" si="3"/>
        <v>10560</v>
      </c>
    </row>
    <row r="28" spans="1:16" x14ac:dyDescent="0.2">
      <c r="A28" s="32" t="s">
        <v>31</v>
      </c>
      <c r="B28" s="31">
        <f>'ENE23'!C98</f>
        <v>0</v>
      </c>
      <c r="C28" s="31">
        <f>'FEB23'!C137</f>
        <v>0</v>
      </c>
      <c r="D28" s="31">
        <f>'MAR23'!C123</f>
        <v>0</v>
      </c>
      <c r="E28" s="31">
        <f>'ABR23'!C134</f>
        <v>0</v>
      </c>
      <c r="F28" s="31">
        <f>'MAY23'!C135</f>
        <v>0</v>
      </c>
      <c r="G28" s="31">
        <f>'JUN23'!C129</f>
        <v>4212</v>
      </c>
      <c r="H28" s="31">
        <f>'JUL23'!C110</f>
        <v>0</v>
      </c>
      <c r="I28" s="31">
        <f>'AGO23'!C136</f>
        <v>0</v>
      </c>
      <c r="J28" s="31">
        <f>'SEP23'!C128</f>
        <v>24635.9</v>
      </c>
      <c r="K28" s="31">
        <f>'OCT23'!C150</f>
        <v>215294.17919999998</v>
      </c>
      <c r="L28" s="31">
        <f>'NOV23'!C111</f>
        <v>91913.76</v>
      </c>
      <c r="M28" s="31">
        <f>'DIC23'!C84</f>
        <v>0</v>
      </c>
      <c r="N28" s="33">
        <f t="shared" si="3"/>
        <v>336055.83919999999</v>
      </c>
      <c r="O28" s="1"/>
    </row>
    <row r="29" spans="1:16" x14ac:dyDescent="0.2">
      <c r="A29" s="32" t="s">
        <v>32</v>
      </c>
      <c r="B29" s="31">
        <f>'ENE23'!C102</f>
        <v>0</v>
      </c>
      <c r="C29" s="31">
        <f>'FEB23'!C142</f>
        <v>0</v>
      </c>
      <c r="D29" s="31">
        <f>'MAR23'!C127</f>
        <v>0</v>
      </c>
      <c r="E29" s="31">
        <f>'ABR23'!C137</f>
        <v>0</v>
      </c>
      <c r="F29" s="31">
        <f>'MAY23'!C138</f>
        <v>60774.52</v>
      </c>
      <c r="G29" s="31">
        <f>'JUN23'!C132</f>
        <v>0</v>
      </c>
      <c r="H29" s="31">
        <f>'JUL23'!C115</f>
        <v>0</v>
      </c>
      <c r="I29" s="31">
        <f>'AGO23'!C140</f>
        <v>0</v>
      </c>
      <c r="J29" s="31">
        <f>'SEP23'!C133</f>
        <v>0</v>
      </c>
      <c r="K29" s="31">
        <f>'OCT23'!C158</f>
        <v>0</v>
      </c>
      <c r="L29" s="31">
        <f>'NOV23'!C115</f>
        <v>0</v>
      </c>
      <c r="M29" s="31">
        <f>'DIC23'!C87</f>
        <v>0</v>
      </c>
      <c r="N29" s="33">
        <f t="shared" si="3"/>
        <v>60774.52</v>
      </c>
      <c r="O29" s="1"/>
    </row>
    <row r="30" spans="1:16" x14ac:dyDescent="0.2">
      <c r="A30" s="32" t="s">
        <v>4</v>
      </c>
      <c r="B30" s="31">
        <f>'ENE23'!C105</f>
        <v>0</v>
      </c>
      <c r="C30" s="31">
        <f>'FEB23'!C145</f>
        <v>0</v>
      </c>
      <c r="D30" s="31">
        <f>'MAR23'!C130</f>
        <v>0</v>
      </c>
      <c r="E30" s="31">
        <f>'ABR23'!C140</f>
        <v>0</v>
      </c>
      <c r="F30" s="31">
        <f>'MAY23'!C141</f>
        <v>0</v>
      </c>
      <c r="G30" s="31">
        <f>'JUN23'!C135</f>
        <v>0</v>
      </c>
      <c r="H30" s="31">
        <f>'JUL23'!C118</f>
        <v>0</v>
      </c>
      <c r="I30" s="31">
        <f>'AGO23'!C143</f>
        <v>0</v>
      </c>
      <c r="J30" s="31">
        <f>'SEP23'!C136</f>
        <v>0</v>
      </c>
      <c r="K30" s="31">
        <f>'OCT23'!C161</f>
        <v>0</v>
      </c>
      <c r="L30" s="31">
        <f>'NOV23'!C118</f>
        <v>0</v>
      </c>
      <c r="M30" s="31">
        <f>'DIC23'!C90</f>
        <v>0</v>
      </c>
      <c r="N30" s="33">
        <f t="shared" si="3"/>
        <v>0</v>
      </c>
      <c r="O30" s="1"/>
    </row>
    <row r="31" spans="1:16" x14ac:dyDescent="0.2">
      <c r="A31" s="32" t="s">
        <v>34</v>
      </c>
      <c r="B31" s="31">
        <f>'ENE23'!C109</f>
        <v>2091.3599999999997</v>
      </c>
      <c r="C31" s="31">
        <f>'FEB23'!C150</f>
        <v>1145.77</v>
      </c>
      <c r="D31" s="31">
        <f>'MAR23'!C133</f>
        <v>3148.63</v>
      </c>
      <c r="E31" s="31">
        <f>'ABR23'!C144</f>
        <v>1145.98</v>
      </c>
      <c r="F31" s="31">
        <f>'MAY23'!C144</f>
        <v>1410.89</v>
      </c>
      <c r="G31" s="31">
        <f>'JUN23'!C139</f>
        <v>3044.65</v>
      </c>
      <c r="H31" s="31">
        <f>'JUL23'!C121</f>
        <v>2932.4700000000003</v>
      </c>
      <c r="I31" s="31">
        <f>'AGO23'!C147</f>
        <v>28361.57</v>
      </c>
      <c r="J31" s="31">
        <f>'SEP23'!C139</f>
        <v>2565.9499999999998</v>
      </c>
      <c r="K31" s="31">
        <f>'OCT23'!C165</f>
        <v>6886.38</v>
      </c>
      <c r="L31" s="31">
        <f>'NOV23'!C121</f>
        <v>9039.6</v>
      </c>
      <c r="M31" s="31">
        <f>'DIC23'!C93</f>
        <v>0</v>
      </c>
      <c r="N31" s="33">
        <f t="shared" si="3"/>
        <v>61773.249999999993</v>
      </c>
      <c r="O31" s="1"/>
    </row>
    <row r="32" spans="1:16" x14ac:dyDescent="0.2">
      <c r="A32" s="32" t="s">
        <v>35</v>
      </c>
      <c r="B32" s="31">
        <f>'ENE23'!C115</f>
        <v>1800</v>
      </c>
      <c r="C32" s="31">
        <f>'FEB23'!C168</f>
        <v>3586.72</v>
      </c>
      <c r="D32" s="31">
        <f>'MAR23'!C142</f>
        <v>7235.59</v>
      </c>
      <c r="E32" s="31">
        <f>'ABR23'!C153</f>
        <v>7090.07</v>
      </c>
      <c r="F32" s="31">
        <f>'MAY23'!C153</f>
        <v>2661.29</v>
      </c>
      <c r="G32" s="31">
        <f>'JUN23'!C147</f>
        <v>3300</v>
      </c>
      <c r="H32" s="31">
        <f>'JUL23'!C128</f>
        <v>2000</v>
      </c>
      <c r="I32" s="31">
        <f>'AGO23'!C155</f>
        <v>3381.5</v>
      </c>
      <c r="J32" s="31">
        <f>'SEP23'!C149</f>
        <v>5844.78</v>
      </c>
      <c r="K32" s="31">
        <f>'OCT23'!C174</f>
        <v>8546.33</v>
      </c>
      <c r="L32" s="31">
        <f>'NOV23'!C126</f>
        <v>0</v>
      </c>
      <c r="M32" s="31">
        <f>'DIC23'!C97</f>
        <v>0</v>
      </c>
      <c r="N32" s="33">
        <f t="shared" si="3"/>
        <v>45446.28</v>
      </c>
    </row>
    <row r="33" spans="1:16" x14ac:dyDescent="0.2">
      <c r="A33" s="32" t="s">
        <v>40</v>
      </c>
      <c r="B33" s="31">
        <f>'ENE23'!C118</f>
        <v>218.76</v>
      </c>
      <c r="C33" s="31">
        <f>'FEB23'!C175</f>
        <v>4698</v>
      </c>
      <c r="D33" s="31">
        <f>'MAR23'!C151</f>
        <v>3284.6</v>
      </c>
      <c r="E33" s="31">
        <f>'ABR23'!C162</f>
        <v>0</v>
      </c>
      <c r="F33" s="31">
        <f>'MAY23'!C159</f>
        <v>69215.44</v>
      </c>
      <c r="G33" s="31">
        <f>'JUN23'!C152</f>
        <v>435.4</v>
      </c>
      <c r="H33" s="31">
        <f>'JUL23'!C133</f>
        <v>13581.619999999999</v>
      </c>
      <c r="I33" s="31">
        <f>'AGO23'!C161</f>
        <v>14833.869999999999</v>
      </c>
      <c r="J33" s="31">
        <f>'SEP23'!C155</f>
        <v>31126.37</v>
      </c>
      <c r="K33" s="31">
        <f>'OCT23'!C185</f>
        <v>10828.699999999999</v>
      </c>
      <c r="L33" s="31">
        <f>'NOV23'!C129</f>
        <v>0</v>
      </c>
      <c r="M33" s="31">
        <f>'DIC23'!C104</f>
        <v>0</v>
      </c>
      <c r="N33" s="33">
        <f t="shared" si="3"/>
        <v>148222.76</v>
      </c>
    </row>
    <row r="34" spans="1:16" x14ac:dyDescent="0.2">
      <c r="A34" s="32" t="s">
        <v>54</v>
      </c>
      <c r="B34" s="31">
        <f>'ENE23'!C124</f>
        <v>0</v>
      </c>
      <c r="C34" s="31">
        <f>'FEB23'!C182</f>
        <v>18699.2</v>
      </c>
      <c r="D34" s="31">
        <f>'MAR23'!C159</f>
        <v>0</v>
      </c>
      <c r="E34" s="31">
        <f>'ABR23'!C169</f>
        <v>0</v>
      </c>
      <c r="F34" s="31">
        <f>'MAY23'!C165</f>
        <v>0</v>
      </c>
      <c r="G34" s="31">
        <f>'JUN23'!C162</f>
        <v>0</v>
      </c>
      <c r="H34" s="31">
        <f>'JUL23'!C143</f>
        <v>1451.42</v>
      </c>
      <c r="I34" s="31">
        <f>'AGO23'!C169</f>
        <v>11628.68</v>
      </c>
      <c r="J34" s="31">
        <f>'SEP23'!C164</f>
        <v>15875.35</v>
      </c>
      <c r="K34" s="31">
        <f>'OCT23'!C197</f>
        <v>22043.48</v>
      </c>
      <c r="L34" s="31">
        <f>'NOV23'!C138</f>
        <v>1251.95</v>
      </c>
      <c r="M34" s="31">
        <f>'DIC23'!C110</f>
        <v>0</v>
      </c>
      <c r="N34" s="33">
        <f t="shared" si="3"/>
        <v>70950.080000000002</v>
      </c>
    </row>
    <row r="35" spans="1:16" x14ac:dyDescent="0.2">
      <c r="A35" s="67" t="s">
        <v>38</v>
      </c>
      <c r="B35" s="68">
        <f>'ENE23'!C128</f>
        <v>82334</v>
      </c>
      <c r="C35" s="68">
        <f>'FEB23'!C187</f>
        <v>81766</v>
      </c>
      <c r="D35" s="68">
        <f>'MAR23'!C164</f>
        <v>63365.42</v>
      </c>
      <c r="E35" s="68">
        <f>'ABR23'!C174</f>
        <v>77459.48</v>
      </c>
      <c r="F35" s="68">
        <f>'MAY23'!C170</f>
        <v>58402</v>
      </c>
      <c r="G35" s="68">
        <f>'JUN23'!C167</f>
        <v>99254.17</v>
      </c>
      <c r="H35" s="68">
        <f>'JUL23'!C147</f>
        <v>74296.02</v>
      </c>
      <c r="I35" s="68">
        <f>'AGO23'!C172</f>
        <v>121473.34999999999</v>
      </c>
      <c r="J35" s="68">
        <f>'SEP23'!C170</f>
        <v>179578.56</v>
      </c>
      <c r="K35" s="68">
        <f>'OCT23'!C200</f>
        <v>219492.55</v>
      </c>
      <c r="L35" s="68">
        <f>'NOV23'!C141</f>
        <v>84981</v>
      </c>
      <c r="M35" s="68">
        <f>'DIC23'!C113</f>
        <v>0</v>
      </c>
      <c r="N35" s="33">
        <f t="shared" si="3"/>
        <v>1142402.55</v>
      </c>
    </row>
    <row r="36" spans="1:16" ht="13.5" thickBot="1" x14ac:dyDescent="0.25">
      <c r="A36" s="34" t="s">
        <v>27</v>
      </c>
      <c r="B36" s="35">
        <f>'ENE23'!C146</f>
        <v>0</v>
      </c>
      <c r="C36" s="35">
        <f>'FEB23'!C213</f>
        <v>0</v>
      </c>
      <c r="D36" s="35">
        <f>'MAR23'!C192</f>
        <v>12064</v>
      </c>
      <c r="E36" s="35">
        <f>'ABR23'!C215</f>
        <v>0</v>
      </c>
      <c r="F36" s="35">
        <f>'MAY23'!C197</f>
        <v>1995.2</v>
      </c>
      <c r="G36" s="35">
        <f>'JUN23'!C204</f>
        <v>0</v>
      </c>
      <c r="H36" s="35">
        <f>'JUL23'!C175</f>
        <v>11696.25</v>
      </c>
      <c r="I36" s="35">
        <f>'AGO23'!C200</f>
        <v>3828</v>
      </c>
      <c r="J36" s="35">
        <f>'SEP23'!C201</f>
        <v>3128</v>
      </c>
      <c r="K36" s="35">
        <f>'OCT23'!C255</f>
        <v>2320</v>
      </c>
      <c r="L36" s="35">
        <f>'NOV23'!C162</f>
        <v>4947.08</v>
      </c>
      <c r="M36" s="35">
        <f>'DIC23'!C122</f>
        <v>0</v>
      </c>
      <c r="N36" s="36">
        <f t="shared" si="3"/>
        <v>39978.53</v>
      </c>
    </row>
    <row r="37" spans="1:16" x14ac:dyDescent="0.2">
      <c r="A37" s="53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54"/>
    </row>
    <row r="38" spans="1:16" x14ac:dyDescent="0.2">
      <c r="A38" s="48" t="s">
        <v>0</v>
      </c>
      <c r="B38" s="30">
        <f>'ENE23'!C153</f>
        <v>0</v>
      </c>
      <c r="C38" s="30">
        <f>'FEB23'!C225</f>
        <v>0</v>
      </c>
      <c r="D38" s="30">
        <f>'MAR23'!C201</f>
        <v>0</v>
      </c>
      <c r="E38" s="30">
        <f>'ABR23'!C224</f>
        <v>0</v>
      </c>
      <c r="F38" s="30">
        <f>'MAY23'!C205</f>
        <v>12694.967999999999</v>
      </c>
      <c r="G38" s="30">
        <f>'JUN23'!C214</f>
        <v>0</v>
      </c>
      <c r="H38" s="30">
        <f>'JUL23'!C182</f>
        <v>0</v>
      </c>
      <c r="I38" s="30">
        <f>'AGO23'!C209</f>
        <v>0</v>
      </c>
      <c r="J38" s="30">
        <f>'SEP23'!C211</f>
        <v>0</v>
      </c>
      <c r="K38" s="30">
        <f>'OCT23'!C265</f>
        <v>0</v>
      </c>
      <c r="L38" s="30">
        <f>'NOV23'!C169</f>
        <v>0</v>
      </c>
      <c r="M38" s="30">
        <f>'DIC23'!C130</f>
        <v>0</v>
      </c>
      <c r="N38" s="55">
        <f>SUM(B38:M38)</f>
        <v>12694.967999999999</v>
      </c>
      <c r="O38" s="1"/>
    </row>
    <row r="39" spans="1:16" ht="13.5" thickBot="1" x14ac:dyDescent="0.25">
      <c r="A39" s="5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54"/>
    </row>
    <row r="40" spans="1:16" ht="13.5" thickBot="1" x14ac:dyDescent="0.25">
      <c r="A40" s="42" t="s">
        <v>17</v>
      </c>
      <c r="B40" s="43">
        <f t="shared" ref="B40:M40" si="4">B3+B18+B38</f>
        <v>86444.12</v>
      </c>
      <c r="C40" s="43">
        <f t="shared" si="4"/>
        <v>424910.56520000007</v>
      </c>
      <c r="D40" s="43">
        <f t="shared" si="4"/>
        <v>827814.76</v>
      </c>
      <c r="E40" s="43">
        <f t="shared" si="4"/>
        <v>1084325.4899999998</v>
      </c>
      <c r="F40" s="43">
        <f t="shared" si="4"/>
        <v>757394.75040000014</v>
      </c>
      <c r="G40" s="43">
        <f t="shared" si="4"/>
        <v>793877.75000000012</v>
      </c>
      <c r="H40" s="43">
        <f t="shared" si="4"/>
        <v>184074.49</v>
      </c>
      <c r="I40" s="43">
        <f t="shared" si="4"/>
        <v>712948.8</v>
      </c>
      <c r="J40" s="43">
        <f t="shared" si="4"/>
        <v>1077114.602</v>
      </c>
      <c r="K40" s="43">
        <f t="shared" si="4"/>
        <v>3105954.7892</v>
      </c>
      <c r="L40" s="43">
        <f t="shared" si="4"/>
        <v>1180639.73</v>
      </c>
      <c r="M40" s="43">
        <f t="shared" si="4"/>
        <v>0</v>
      </c>
      <c r="N40" s="50">
        <f>SUM(B40:M40)</f>
        <v>10235499.846799999</v>
      </c>
      <c r="O40" s="1"/>
    </row>
    <row r="41" spans="1:16" x14ac:dyDescent="0.2">
      <c r="P41" s="1"/>
    </row>
    <row r="42" spans="1:16" x14ac:dyDescent="0.2">
      <c r="O42" s="1"/>
    </row>
    <row r="45" spans="1:16" x14ac:dyDescent="0.2">
      <c r="N45" s="1"/>
    </row>
  </sheetData>
  <mergeCells count="1">
    <mergeCell ref="A1:M1"/>
  </mergeCells>
  <phoneticPr fontId="1" type="noConversion"/>
  <pageMargins left="0.75" right="0.75" top="1" bottom="1" header="0.5" footer="0.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E84"/>
  <sheetViews>
    <sheetView workbookViewId="0">
      <selection activeCell="A43" sqref="A43"/>
    </sheetView>
  </sheetViews>
  <sheetFormatPr defaultRowHeight="12.75" x14ac:dyDescent="0.2"/>
  <cols>
    <col min="1" max="1" width="27.28515625" customWidth="1"/>
    <col min="2" max="2" width="18.5703125" customWidth="1"/>
    <col min="3" max="3" width="12.28515625" bestFit="1" customWidth="1"/>
    <col min="4" max="5" width="10.140625" bestFit="1" customWidth="1"/>
  </cols>
  <sheetData>
    <row r="1" spans="1:5" x14ac:dyDescent="0.2">
      <c r="A1" s="7" t="s">
        <v>62</v>
      </c>
    </row>
    <row r="3" spans="1:5" x14ac:dyDescent="0.2">
      <c r="A3" s="89" t="s">
        <v>20</v>
      </c>
      <c r="B3" s="89" t="s">
        <v>44</v>
      </c>
      <c r="C3" s="89" t="s">
        <v>52</v>
      </c>
    </row>
    <row r="4" spans="1:5" x14ac:dyDescent="0.2">
      <c r="A4" s="144" t="s">
        <v>79</v>
      </c>
      <c r="B4" s="145">
        <v>500000</v>
      </c>
      <c r="C4" s="144">
        <v>624108</v>
      </c>
    </row>
    <row r="5" spans="1:5" x14ac:dyDescent="0.2">
      <c r="A5" s="144" t="s">
        <v>79</v>
      </c>
      <c r="B5" s="145">
        <v>1476648.68</v>
      </c>
      <c r="C5" s="144">
        <v>624108</v>
      </c>
    </row>
    <row r="6" spans="1:5" x14ac:dyDescent="0.2">
      <c r="A6" s="99" t="s">
        <v>144</v>
      </c>
      <c r="B6" s="92">
        <v>660000</v>
      </c>
      <c r="C6" s="111">
        <v>624108</v>
      </c>
    </row>
    <row r="7" spans="1:5" x14ac:dyDescent="0.2">
      <c r="A7" s="99" t="s">
        <v>216</v>
      </c>
      <c r="B7" s="92">
        <v>700000</v>
      </c>
      <c r="C7" s="111">
        <v>624108</v>
      </c>
    </row>
    <row r="8" spans="1:5" x14ac:dyDescent="0.2">
      <c r="A8" s="99">
        <v>45113</v>
      </c>
      <c r="B8" s="92">
        <v>2891780.01</v>
      </c>
      <c r="C8" s="111">
        <v>624602</v>
      </c>
    </row>
    <row r="9" spans="1:5" x14ac:dyDescent="0.2">
      <c r="A9" s="90" t="s">
        <v>396</v>
      </c>
      <c r="B9" s="92">
        <v>2194251.64</v>
      </c>
      <c r="C9" s="111">
        <v>624602</v>
      </c>
    </row>
    <row r="10" spans="1:5" x14ac:dyDescent="0.2">
      <c r="A10" s="140" t="s">
        <v>620</v>
      </c>
      <c r="B10" s="92">
        <v>886293</v>
      </c>
      <c r="C10" s="111">
        <v>624602</v>
      </c>
    </row>
    <row r="11" spans="1:5" x14ac:dyDescent="0.2">
      <c r="A11" s="139"/>
      <c r="B11" s="92"/>
      <c r="C11" s="111"/>
      <c r="E11" s="93"/>
    </row>
    <row r="12" spans="1:5" x14ac:dyDescent="0.2">
      <c r="A12" s="139"/>
      <c r="B12" s="92"/>
      <c r="C12" s="111"/>
    </row>
    <row r="13" spans="1:5" x14ac:dyDescent="0.2">
      <c r="A13" s="139"/>
      <c r="B13" s="92"/>
      <c r="C13" s="111"/>
    </row>
    <row r="14" spans="1:5" x14ac:dyDescent="0.2">
      <c r="A14" s="140"/>
      <c r="B14" s="92"/>
      <c r="C14" s="111"/>
    </row>
    <row r="15" spans="1:5" x14ac:dyDescent="0.2">
      <c r="A15" s="139"/>
      <c r="B15" s="92"/>
      <c r="C15" s="111"/>
    </row>
    <row r="16" spans="1:5" x14ac:dyDescent="0.2">
      <c r="A16" s="139"/>
      <c r="B16" s="92"/>
      <c r="C16" s="111"/>
    </row>
    <row r="17" spans="1:4" x14ac:dyDescent="0.2">
      <c r="A17" s="139"/>
      <c r="B17" s="92"/>
      <c r="C17" s="111"/>
    </row>
    <row r="18" spans="1:4" x14ac:dyDescent="0.2">
      <c r="A18" s="140"/>
      <c r="B18" s="92"/>
      <c r="C18" s="111"/>
      <c r="D18" s="93"/>
    </row>
    <row r="19" spans="1:4" x14ac:dyDescent="0.2">
      <c r="A19" s="140"/>
      <c r="B19" s="92"/>
      <c r="C19" s="111"/>
    </row>
    <row r="20" spans="1:4" x14ac:dyDescent="0.2">
      <c r="A20" s="139"/>
      <c r="B20" s="92"/>
      <c r="C20" s="111"/>
    </row>
    <row r="21" spans="1:4" x14ac:dyDescent="0.2">
      <c r="A21" s="139"/>
      <c r="B21" s="92"/>
      <c r="C21" s="111"/>
    </row>
    <row r="22" spans="1:4" x14ac:dyDescent="0.2">
      <c r="A22" s="139"/>
      <c r="B22" s="92"/>
      <c r="C22" s="111"/>
    </row>
    <row r="23" spans="1:4" x14ac:dyDescent="0.2">
      <c r="A23" s="139"/>
      <c r="B23" s="92"/>
      <c r="C23" s="111"/>
    </row>
    <row r="24" spans="1:4" x14ac:dyDescent="0.2">
      <c r="A24" s="139"/>
      <c r="B24" s="92"/>
      <c r="C24" s="111"/>
    </row>
    <row r="25" spans="1:4" x14ac:dyDescent="0.2">
      <c r="A25" s="139"/>
      <c r="B25" s="92"/>
      <c r="C25" s="111"/>
    </row>
    <row r="26" spans="1:4" x14ac:dyDescent="0.2">
      <c r="A26" s="139"/>
      <c r="B26" s="92"/>
      <c r="C26" s="111"/>
    </row>
    <row r="27" spans="1:4" x14ac:dyDescent="0.2">
      <c r="A27" s="139"/>
      <c r="B27" s="92"/>
      <c r="C27" s="111"/>
    </row>
    <row r="28" spans="1:4" x14ac:dyDescent="0.2">
      <c r="A28" s="139"/>
      <c r="B28" s="92"/>
      <c r="C28" s="111"/>
    </row>
    <row r="29" spans="1:4" x14ac:dyDescent="0.2">
      <c r="A29" s="139"/>
      <c r="B29" s="92"/>
      <c r="C29" s="111"/>
    </row>
    <row r="30" spans="1:4" x14ac:dyDescent="0.2">
      <c r="A30" s="139"/>
      <c r="B30" s="92"/>
      <c r="C30" s="111"/>
    </row>
    <row r="31" spans="1:4" x14ac:dyDescent="0.2">
      <c r="A31" s="139"/>
      <c r="B31" s="92"/>
      <c r="C31" s="111"/>
    </row>
    <row r="32" spans="1:4" x14ac:dyDescent="0.2">
      <c r="A32" s="139"/>
      <c r="B32" s="92"/>
      <c r="C32" s="111"/>
    </row>
    <row r="33" spans="1:3" x14ac:dyDescent="0.2">
      <c r="A33" s="139"/>
      <c r="B33" s="92"/>
      <c r="C33" s="111"/>
    </row>
    <row r="34" spans="1:3" x14ac:dyDescent="0.2">
      <c r="A34" s="139"/>
      <c r="B34" s="92"/>
      <c r="C34" s="111"/>
    </row>
    <row r="35" spans="1:3" x14ac:dyDescent="0.2">
      <c r="A35" s="139"/>
      <c r="B35" s="92"/>
      <c r="C35" s="111"/>
    </row>
    <row r="36" spans="1:3" x14ac:dyDescent="0.2">
      <c r="A36" s="139"/>
      <c r="B36" s="92"/>
      <c r="C36" s="111"/>
    </row>
    <row r="37" spans="1:3" x14ac:dyDescent="0.2">
      <c r="A37" s="139"/>
      <c r="B37" s="92"/>
      <c r="C37" s="111"/>
    </row>
    <row r="38" spans="1:3" x14ac:dyDescent="0.2">
      <c r="A38" s="139"/>
      <c r="B38" s="92"/>
      <c r="C38" s="111"/>
    </row>
    <row r="39" spans="1:3" x14ac:dyDescent="0.2">
      <c r="A39" s="90"/>
      <c r="B39" s="92"/>
    </row>
    <row r="40" spans="1:3" x14ac:dyDescent="0.2">
      <c r="A40" s="90"/>
      <c r="B40" s="92"/>
    </row>
    <row r="41" spans="1:3" x14ac:dyDescent="0.2">
      <c r="A41" s="89" t="s">
        <v>45</v>
      </c>
      <c r="B41" s="93">
        <f>SUM(B4:B40)</f>
        <v>9308973.3300000001</v>
      </c>
      <c r="C41" s="93"/>
    </row>
    <row r="42" spans="1:3" x14ac:dyDescent="0.2">
      <c r="A42" s="89" t="s">
        <v>624</v>
      </c>
      <c r="B42" s="93">
        <v>3000000</v>
      </c>
      <c r="C42" s="93"/>
    </row>
    <row r="43" spans="1:3" x14ac:dyDescent="0.2">
      <c r="A43" s="89" t="s">
        <v>46</v>
      </c>
      <c r="B43" s="138">
        <f>B42-B41</f>
        <v>-6308973.3300000001</v>
      </c>
    </row>
    <row r="44" spans="1:3" x14ac:dyDescent="0.2">
      <c r="A44" s="90"/>
      <c r="B44" s="122"/>
    </row>
    <row r="45" spans="1:3" x14ac:dyDescent="0.2">
      <c r="A45" s="141" t="s">
        <v>60</v>
      </c>
      <c r="B45" s="122">
        <f>B41-VACIADO!N40</f>
        <v>-926526.5167999994</v>
      </c>
    </row>
    <row r="46" spans="1:3" x14ac:dyDescent="0.2">
      <c r="A46" s="99"/>
      <c r="B46" s="92"/>
    </row>
    <row r="47" spans="1:3" x14ac:dyDescent="0.2">
      <c r="A47" s="99"/>
      <c r="B47" s="92"/>
    </row>
    <row r="48" spans="1:3" x14ac:dyDescent="0.2">
      <c r="A48" s="99"/>
      <c r="B48" s="92"/>
    </row>
    <row r="49" spans="1:2" x14ac:dyDescent="0.2">
      <c r="A49" s="100"/>
      <c r="B49" s="92"/>
    </row>
    <row r="50" spans="1:2" x14ac:dyDescent="0.2">
      <c r="A50" s="100"/>
      <c r="B50" s="92"/>
    </row>
    <row r="51" spans="1:2" x14ac:dyDescent="0.2">
      <c r="A51" s="100"/>
      <c r="B51" s="92"/>
    </row>
    <row r="52" spans="1:2" x14ac:dyDescent="0.2">
      <c r="A52" s="100"/>
      <c r="B52" s="92"/>
    </row>
    <row r="53" spans="1:2" x14ac:dyDescent="0.2">
      <c r="A53" s="100"/>
      <c r="B53" s="92"/>
    </row>
    <row r="54" spans="1:2" x14ac:dyDescent="0.2">
      <c r="A54" s="100"/>
      <c r="B54" s="92"/>
    </row>
    <row r="55" spans="1:2" x14ac:dyDescent="0.2">
      <c r="A55" s="100"/>
      <c r="B55" s="92"/>
    </row>
    <row r="56" spans="1:2" x14ac:dyDescent="0.2">
      <c r="A56" s="100"/>
      <c r="B56" s="92"/>
    </row>
    <row r="57" spans="1:2" x14ac:dyDescent="0.2">
      <c r="A57" s="100"/>
      <c r="B57" s="92"/>
    </row>
    <row r="58" spans="1:2" x14ac:dyDescent="0.2">
      <c r="A58" s="100"/>
      <c r="B58" s="92"/>
    </row>
    <row r="59" spans="1:2" x14ac:dyDescent="0.2">
      <c r="A59" s="100"/>
      <c r="B59" s="92"/>
    </row>
    <row r="60" spans="1:2" x14ac:dyDescent="0.2">
      <c r="A60" s="100"/>
      <c r="B60" s="92"/>
    </row>
    <row r="61" spans="1:2" x14ac:dyDescent="0.2">
      <c r="A61" s="100"/>
      <c r="B61" s="92"/>
    </row>
    <row r="62" spans="1:2" x14ac:dyDescent="0.2">
      <c r="A62" s="100"/>
      <c r="B62" s="92"/>
    </row>
    <row r="63" spans="1:2" x14ac:dyDescent="0.2">
      <c r="A63" s="100"/>
      <c r="B63" s="92"/>
    </row>
    <row r="64" spans="1:2" x14ac:dyDescent="0.2">
      <c r="A64" s="100"/>
      <c r="B64" s="92"/>
    </row>
    <row r="65" spans="1:2" x14ac:dyDescent="0.2">
      <c r="A65" s="100"/>
      <c r="B65" s="92"/>
    </row>
    <row r="66" spans="1:2" x14ac:dyDescent="0.2">
      <c r="A66" s="100"/>
      <c r="B66" s="92"/>
    </row>
    <row r="67" spans="1:2" x14ac:dyDescent="0.2">
      <c r="A67" s="100"/>
      <c r="B67" s="92"/>
    </row>
    <row r="68" spans="1:2" x14ac:dyDescent="0.2">
      <c r="A68" s="99"/>
      <c r="B68" s="92"/>
    </row>
    <row r="69" spans="1:2" x14ac:dyDescent="0.2">
      <c r="A69" s="100"/>
      <c r="B69" s="92"/>
    </row>
    <row r="70" spans="1:2" x14ac:dyDescent="0.2">
      <c r="A70" s="100"/>
      <c r="B70" s="92"/>
    </row>
    <row r="71" spans="1:2" x14ac:dyDescent="0.2">
      <c r="A71" s="100"/>
      <c r="B71" s="92"/>
    </row>
    <row r="72" spans="1:2" x14ac:dyDescent="0.2">
      <c r="A72" s="100"/>
      <c r="B72" s="92"/>
    </row>
    <row r="73" spans="1:2" x14ac:dyDescent="0.2">
      <c r="A73" s="100"/>
      <c r="B73" s="92"/>
    </row>
    <row r="74" spans="1:2" x14ac:dyDescent="0.2">
      <c r="A74" s="100"/>
      <c r="B74" s="92"/>
    </row>
    <row r="75" spans="1:2" x14ac:dyDescent="0.2">
      <c r="A75" s="100"/>
      <c r="B75" s="92"/>
    </row>
    <row r="76" spans="1:2" x14ac:dyDescent="0.2">
      <c r="A76" s="100"/>
      <c r="B76" s="92"/>
    </row>
    <row r="77" spans="1:2" x14ac:dyDescent="0.2">
      <c r="A77" s="100"/>
      <c r="B77" s="92"/>
    </row>
    <row r="78" spans="1:2" x14ac:dyDescent="0.2">
      <c r="A78" s="90"/>
      <c r="B78" s="92"/>
    </row>
    <row r="79" spans="1:2" x14ac:dyDescent="0.2">
      <c r="A79" s="90"/>
      <c r="B79" s="92"/>
    </row>
    <row r="80" spans="1:2" x14ac:dyDescent="0.2">
      <c r="A80" s="90"/>
      <c r="B80" s="92"/>
    </row>
    <row r="81" spans="2:3" x14ac:dyDescent="0.2">
      <c r="B81" s="93"/>
    </row>
    <row r="82" spans="2:3" x14ac:dyDescent="0.2">
      <c r="B82" s="93"/>
    </row>
    <row r="84" spans="2:3" x14ac:dyDescent="0.2">
      <c r="C84" s="93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ENE23</vt:lpstr>
      <vt:lpstr>FEB23</vt:lpstr>
      <vt:lpstr>MAR23</vt:lpstr>
      <vt:lpstr>ABR23</vt:lpstr>
      <vt:lpstr>MAY23</vt:lpstr>
      <vt:lpstr>JUN23</vt:lpstr>
      <vt:lpstr>JUL23</vt:lpstr>
      <vt:lpstr>AGO23</vt:lpstr>
      <vt:lpstr>SEP23</vt:lpstr>
      <vt:lpstr>OCT23</vt:lpstr>
      <vt:lpstr>NOV23</vt:lpstr>
      <vt:lpstr>DIC23</vt:lpstr>
      <vt:lpstr>VACIADO</vt:lpstr>
      <vt:lpstr>Asignaciones</vt:lpstr>
    </vt:vector>
  </TitlesOfParts>
  <Company>CICESE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 Leñero</dc:creator>
  <cp:lastModifiedBy>Juan Carlos Leñero V</cp:lastModifiedBy>
  <cp:lastPrinted>2010-03-17T20:46:10Z</cp:lastPrinted>
  <dcterms:created xsi:type="dcterms:W3CDTF">2007-07-28T20:52:52Z</dcterms:created>
  <dcterms:modified xsi:type="dcterms:W3CDTF">2023-11-29T19:26:49Z</dcterms:modified>
</cp:coreProperties>
</file>